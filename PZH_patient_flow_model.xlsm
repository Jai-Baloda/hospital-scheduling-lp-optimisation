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15" codeName="{643B0D74-A683-FBA9-23B4-8A0AA6E0B6B9}"/>
  <workbookPr codeName="ThisWorkbook" defaultThemeVersion="124226"/>
  <mc:AlternateContent xmlns:mc="http://schemas.openxmlformats.org/markup-compatibility/2006">
    <mc:Choice Requires="x15">
      <x15ac:absPath xmlns:x15ac="http://schemas.microsoft.com/office/spreadsheetml/2010/11/ac" url="/Users/deep/Downloads/"/>
    </mc:Choice>
  </mc:AlternateContent>
  <xr:revisionPtr revIDLastSave="0" documentId="13_ncr:1_{7E635AA0-1F80-E34E-A7B3-FD57421FE720}" xr6:coauthVersionLast="47" xr6:coauthVersionMax="47" xr10:uidLastSave="{00000000-0000-0000-0000-000000000000}"/>
  <bookViews>
    <workbookView xWindow="0" yWindow="0" windowWidth="28160" windowHeight="17620" xr2:uid="{00000000-000D-0000-FFFF-FFFF00000000}"/>
  </bookViews>
  <sheets>
    <sheet name="Case Data" sheetId="6"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4" i="6" l="1"/>
  <c r="Q3" i="6"/>
  <c r="O4" i="6"/>
  <c r="O3" i="6"/>
  <c r="R3" i="6"/>
  <c r="R2" i="6"/>
  <c r="P3" i="6"/>
  <c r="P2" i="6"/>
  <c r="N4" i="6"/>
  <c r="N3" i="6"/>
  <c r="N2"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3" i="6"/>
  <c r="AE2" i="6"/>
  <c r="M2" i="6"/>
  <c r="P4" i="6" l="1"/>
  <c r="R4" i="6"/>
  <c r="L2" i="6"/>
  <c r="S2" i="6"/>
  <c r="AH2" i="6" s="1"/>
  <c r="J39" i="6"/>
  <c r="J40" i="6"/>
  <c r="J41" i="6"/>
  <c r="J42" i="6"/>
  <c r="J43" i="6"/>
  <c r="J44" i="6"/>
  <c r="J45" i="6"/>
  <c r="J46" i="6"/>
  <c r="J47" i="6"/>
  <c r="J48" i="6"/>
  <c r="J49" i="6"/>
  <c r="J50" i="6"/>
  <c r="J51" i="6"/>
  <c r="J52" i="6"/>
  <c r="J53" i="6"/>
  <c r="J4" i="6"/>
  <c r="J5" i="6"/>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 i="6"/>
  <c r="L3" i="6" s="1"/>
  <c r="M3" i="6" s="1"/>
  <c r="I28" i="6"/>
  <c r="I29" i="6"/>
  <c r="I30" i="6"/>
  <c r="I31" i="6"/>
  <c r="I32" i="6"/>
  <c r="I33" i="6"/>
  <c r="I34" i="6"/>
  <c r="I35" i="6"/>
  <c r="I36" i="6"/>
  <c r="I37" i="6"/>
  <c r="I38" i="6"/>
  <c r="I39" i="6"/>
  <c r="I40" i="6"/>
  <c r="I41" i="6"/>
  <c r="I42" i="6"/>
  <c r="I43" i="6"/>
  <c r="I44" i="6"/>
  <c r="I45" i="6"/>
  <c r="I46" i="6"/>
  <c r="I47" i="6"/>
  <c r="I48" i="6"/>
  <c r="I49" i="6"/>
  <c r="I50" i="6"/>
  <c r="I51" i="6"/>
  <c r="I52" i="6"/>
  <c r="I53" i="6"/>
  <c r="I4" i="6"/>
  <c r="I5" i="6"/>
  <c r="I6" i="6"/>
  <c r="I7" i="6"/>
  <c r="I8" i="6"/>
  <c r="I9" i="6"/>
  <c r="I10" i="6"/>
  <c r="I11" i="6"/>
  <c r="I12" i="6"/>
  <c r="I13" i="6"/>
  <c r="I14" i="6"/>
  <c r="I15" i="6"/>
  <c r="I16" i="6"/>
  <c r="I17" i="6"/>
  <c r="I18" i="6"/>
  <c r="I19" i="6"/>
  <c r="I20" i="6"/>
  <c r="I21" i="6"/>
  <c r="I22" i="6"/>
  <c r="I23" i="6"/>
  <c r="I24" i="6"/>
  <c r="I25" i="6"/>
  <c r="I26" i="6"/>
  <c r="I27" i="6"/>
  <c r="I3" i="6"/>
  <c r="L4" i="6" l="1"/>
  <c r="M4" i="6" s="1"/>
  <c r="AE3" i="6"/>
  <c r="V13" i="6"/>
  <c r="W13" i="6"/>
  <c r="X13" i="6"/>
  <c r="Y13" i="6"/>
  <c r="Z13" i="6"/>
  <c r="AA13" i="6"/>
  <c r="AE4" i="6" l="1"/>
  <c r="L5" i="6"/>
  <c r="M5" i="6" s="1"/>
  <c r="AE5" i="6" s="1"/>
  <c r="Q2" i="6"/>
  <c r="AG2" i="6" l="1"/>
  <c r="L6" i="6"/>
  <c r="M6" i="6" s="1"/>
  <c r="AE6" i="6" s="1"/>
  <c r="O2" i="6"/>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F2" i="6" l="1"/>
  <c r="K2" i="6"/>
  <c r="L7" i="6"/>
  <c r="M7" i="6" s="1"/>
  <c r="AE7" i="6" s="1"/>
  <c r="L8" i="6" l="1"/>
  <c r="M8" i="6" s="1"/>
  <c r="AE8" i="6" s="1"/>
  <c r="S3" i="6" l="1"/>
  <c r="AF3" i="6"/>
  <c r="N5" i="6"/>
  <c r="O5" i="6" s="1"/>
  <c r="L9" i="6"/>
  <c r="M9" i="6"/>
  <c r="AE9" i="6" s="1"/>
  <c r="N6" i="6" l="1"/>
  <c r="O6" i="6" s="1"/>
  <c r="AF4" i="6"/>
  <c r="AG3" i="6"/>
  <c r="P5" i="6"/>
  <c r="Q5" i="6" s="1"/>
  <c r="AH3" i="6"/>
  <c r="L10" i="6"/>
  <c r="S4" i="6" l="1"/>
  <c r="P6" i="6"/>
  <c r="Q6" i="6" s="1"/>
  <c r="AG4" i="6"/>
  <c r="K3" i="6"/>
  <c r="N7" i="6"/>
  <c r="O7" i="6" s="1"/>
  <c r="AF5" i="6"/>
  <c r="M10" i="6"/>
  <c r="AE10" i="6" s="1"/>
  <c r="AH4" i="6" l="1"/>
  <c r="R5" i="6"/>
  <c r="S5" i="6" s="1"/>
  <c r="R6" i="6" s="1"/>
  <c r="N8" i="6"/>
  <c r="O8" i="6" s="1"/>
  <c r="AF6" i="6"/>
  <c r="P7" i="6"/>
  <c r="Q7" i="6" s="1"/>
  <c r="AG5" i="6"/>
  <c r="K4" i="6"/>
  <c r="L11" i="6"/>
  <c r="S6" i="6" l="1"/>
  <c r="R7" i="6" s="1"/>
  <c r="AH5" i="6"/>
  <c r="K5" i="6" s="1"/>
  <c r="P8" i="6"/>
  <c r="Q8" i="6" s="1"/>
  <c r="AG6" i="6"/>
  <c r="AF7" i="6"/>
  <c r="M11" i="6"/>
  <c r="AE11" i="6" s="1"/>
  <c r="AG7" i="6" l="1"/>
  <c r="N9" i="6"/>
  <c r="O9" i="6" s="1"/>
  <c r="AH6" i="6"/>
  <c r="K6" i="6" s="1"/>
  <c r="S7" i="6"/>
  <c r="R8" i="6" s="1"/>
  <c r="L12" i="6"/>
  <c r="D10" i="6" l="1"/>
  <c r="P9" i="6"/>
  <c r="Q9" i="6" s="1"/>
  <c r="AF8" i="6"/>
  <c r="AH7" i="6"/>
  <c r="K7" i="6" s="1"/>
  <c r="S8" i="6"/>
  <c r="AG8" i="6"/>
  <c r="M12" i="6"/>
  <c r="AE12" i="6" s="1"/>
  <c r="R9" i="6" l="1"/>
  <c r="AH8" i="6"/>
  <c r="K8" i="6" s="1"/>
  <c r="S9" i="6"/>
  <c r="AH9" i="6" s="1"/>
  <c r="AG9" i="6"/>
  <c r="E10" i="6"/>
  <c r="N10" i="6"/>
  <c r="L13" i="6"/>
  <c r="P10" i="6" l="1"/>
  <c r="O10" i="6"/>
  <c r="D11" i="6"/>
  <c r="AF9" i="6"/>
  <c r="K9" i="6" s="1"/>
  <c r="M13" i="6"/>
  <c r="AE13" i="6" s="1"/>
  <c r="R10" i="6" l="1"/>
  <c r="Q10" i="6"/>
  <c r="AG10" i="6"/>
  <c r="N11" i="6"/>
  <c r="O11" i="6" s="1"/>
  <c r="P11" i="6"/>
  <c r="S10" i="6"/>
  <c r="AH10" i="6" s="1"/>
  <c r="L14" i="6"/>
  <c r="M14" i="6" s="1"/>
  <c r="AE14" i="6" s="1"/>
  <c r="Q11" i="6" l="1"/>
  <c r="D12" i="6"/>
  <c r="E11" i="6"/>
  <c r="R11" i="6" s="1"/>
  <c r="AF10" i="6"/>
  <c r="K10" i="6"/>
  <c r="L15" i="6"/>
  <c r="M15" i="6" s="1"/>
  <c r="AE15" i="6" s="1"/>
  <c r="E12" i="6" l="1"/>
  <c r="AG11" i="6"/>
  <c r="S11" i="6"/>
  <c r="AH11" i="6" s="1"/>
  <c r="N12" i="6"/>
  <c r="O12" i="6" s="1"/>
  <c r="P12" i="6"/>
  <c r="Q12" i="6" s="1"/>
  <c r="L16" i="6"/>
  <c r="D13" i="6" l="1"/>
  <c r="R12" i="6"/>
  <c r="AF11" i="6"/>
  <c r="K11" i="6"/>
  <c r="M16" i="6"/>
  <c r="AE16" i="6" s="1"/>
  <c r="N13" i="6" l="1"/>
  <c r="O13" i="6" s="1"/>
  <c r="L17" i="6"/>
  <c r="D14" i="6" l="1"/>
  <c r="AG12" i="6"/>
  <c r="S12" i="6"/>
  <c r="AH12" i="6" s="1"/>
  <c r="P13" i="6"/>
  <c r="Q13" i="6" s="1"/>
  <c r="AF12" i="6"/>
  <c r="M17" i="6"/>
  <c r="AE17" i="6" s="1"/>
  <c r="N14" i="6" l="1"/>
  <c r="O14" i="6" s="1"/>
  <c r="K12" i="6"/>
  <c r="E13" i="6"/>
  <c r="L18" i="6"/>
  <c r="D15" i="6" l="1"/>
  <c r="R13" i="6"/>
  <c r="S13" i="6" s="1"/>
  <c r="AH13" i="6" s="1"/>
  <c r="AG13" i="6"/>
  <c r="E14" i="6"/>
  <c r="P14" i="6"/>
  <c r="Q14" i="6" s="1"/>
  <c r="AF13" i="6"/>
  <c r="M18" i="6"/>
  <c r="AE18" i="6" s="1"/>
  <c r="K13" i="6" l="1"/>
  <c r="R14" i="6"/>
  <c r="S14" i="6" s="1"/>
  <c r="AH14" i="6" s="1"/>
  <c r="N15" i="6"/>
  <c r="O15" i="6" s="1"/>
  <c r="L19" i="6"/>
  <c r="D16" i="6" l="1"/>
  <c r="AG14" i="6"/>
  <c r="E15" i="6"/>
  <c r="P15" i="6"/>
  <c r="Q15" i="6" s="1"/>
  <c r="AF14" i="6"/>
  <c r="K14" i="6" s="1"/>
  <c r="M19" i="6"/>
  <c r="AE19" i="6" s="1"/>
  <c r="R15" i="6" l="1"/>
  <c r="E16" i="6" s="1"/>
  <c r="R16" i="6" s="1"/>
  <c r="AG15" i="6"/>
  <c r="N16" i="6"/>
  <c r="O16" i="6" s="1"/>
  <c r="P16" i="6"/>
  <c r="Q16" i="6" s="1"/>
  <c r="S15" i="6"/>
  <c r="AH15" i="6" s="1"/>
  <c r="L20" i="6"/>
  <c r="D17" i="6" l="1"/>
  <c r="AF15" i="6"/>
  <c r="K15" i="6" s="1"/>
  <c r="M20" i="6"/>
  <c r="AE20" i="6" s="1"/>
  <c r="N17" i="6" l="1"/>
  <c r="O17" i="6" s="1"/>
  <c r="L21" i="6"/>
  <c r="D18" i="6" l="1"/>
  <c r="S16" i="6"/>
  <c r="AH16" i="6" s="1"/>
  <c r="E17" i="6"/>
  <c r="AG16" i="6"/>
  <c r="AF16" i="6"/>
  <c r="M21" i="6"/>
  <c r="AE21" i="6" s="1"/>
  <c r="P17" i="6" l="1"/>
  <c r="K16" i="6"/>
  <c r="N18" i="6"/>
  <c r="O18" i="6" s="1"/>
  <c r="L22" i="6"/>
  <c r="R17" i="6" l="1"/>
  <c r="Q17" i="6"/>
  <c r="D19" i="6"/>
  <c r="AF17" i="6"/>
  <c r="S17" i="6"/>
  <c r="AH17" i="6" s="1"/>
  <c r="E18" i="6"/>
  <c r="M22" i="6"/>
  <c r="AE22" i="6" s="1"/>
  <c r="AG17" i="6" l="1"/>
  <c r="P18" i="6"/>
  <c r="R18" i="6" s="1"/>
  <c r="K17" i="6"/>
  <c r="N19" i="6"/>
  <c r="O19" i="6" s="1"/>
  <c r="L23" i="6"/>
  <c r="Q18" i="6" l="1"/>
  <c r="D20" i="6"/>
  <c r="AF18" i="6"/>
  <c r="S18" i="6"/>
  <c r="AH18" i="6" s="1"/>
  <c r="M23" i="6"/>
  <c r="AE23" i="6" s="1"/>
  <c r="P19" i="6" l="1"/>
  <c r="Q19" i="6" s="1"/>
  <c r="AG18" i="6"/>
  <c r="E19" i="6"/>
  <c r="R19" i="6" s="1"/>
  <c r="K18" i="6"/>
  <c r="N20" i="6"/>
  <c r="O20" i="6" s="1"/>
  <c r="L24" i="6"/>
  <c r="AG19" i="6" l="1"/>
  <c r="D21" i="6"/>
  <c r="P20" i="6"/>
  <c r="Q20" i="6" s="1"/>
  <c r="S19" i="6"/>
  <c r="AH19" i="6" s="1"/>
  <c r="AF19" i="6"/>
  <c r="M24" i="6"/>
  <c r="AE24" i="6" s="1"/>
  <c r="E20" i="6" l="1"/>
  <c r="R20" i="6" s="1"/>
  <c r="K19" i="6"/>
  <c r="N21" i="6"/>
  <c r="O21" i="6" s="1"/>
  <c r="L25" i="6"/>
  <c r="D22" i="6" l="1"/>
  <c r="AG20" i="6"/>
  <c r="P21" i="6"/>
  <c r="Q21" i="6" s="1"/>
  <c r="AF20" i="6"/>
  <c r="S20" i="6"/>
  <c r="AH20" i="6" s="1"/>
  <c r="M25" i="6"/>
  <c r="AE25" i="6" s="1"/>
  <c r="AG21" i="6" l="1"/>
  <c r="E21" i="6"/>
  <c r="R21" i="6" s="1"/>
  <c r="N22" i="6"/>
  <c r="O22" i="6" s="1"/>
  <c r="P22" i="6"/>
  <c r="Q22" i="6" s="1"/>
  <c r="K20" i="6"/>
  <c r="L26" i="6"/>
  <c r="D23" i="6" l="1"/>
  <c r="S21" i="6"/>
  <c r="AH21" i="6" s="1"/>
  <c r="E22" i="6"/>
  <c r="R22" i="6" s="1"/>
  <c r="AF21" i="6"/>
  <c r="M26" i="6"/>
  <c r="AE26" i="6" s="1"/>
  <c r="K21" i="6" l="1"/>
  <c r="N23" i="6"/>
  <c r="O23" i="6" s="1"/>
  <c r="L27" i="6"/>
  <c r="D24" i="6" l="1"/>
  <c r="AG22" i="6"/>
  <c r="S22" i="6"/>
  <c r="AH22" i="6" s="1"/>
  <c r="P23" i="6"/>
  <c r="Q23" i="6" s="1"/>
  <c r="AF22" i="6"/>
  <c r="M27" i="6"/>
  <c r="AE27" i="6" s="1"/>
  <c r="AG23" i="6" l="1"/>
  <c r="K22" i="6"/>
  <c r="E23" i="6"/>
  <c r="N24" i="6"/>
  <c r="O24" i="6" s="1"/>
  <c r="P24" i="6"/>
  <c r="Q24" i="6" s="1"/>
  <c r="L28" i="6"/>
  <c r="D25" i="6" l="1"/>
  <c r="R23" i="6"/>
  <c r="S23" i="6" s="1"/>
  <c r="AH23" i="6" s="1"/>
  <c r="AF23" i="6"/>
  <c r="E24" i="6"/>
  <c r="M28" i="6"/>
  <c r="AE28" i="6" s="1"/>
  <c r="R24" i="6" l="1"/>
  <c r="S24" i="6" s="1"/>
  <c r="AH24" i="6" s="1"/>
  <c r="K23" i="6"/>
  <c r="AG24" i="6"/>
  <c r="E25" i="6"/>
  <c r="N25" i="6"/>
  <c r="O25" i="6" s="1"/>
  <c r="P25" i="6"/>
  <c r="Q25" i="6" s="1"/>
  <c r="L29" i="6"/>
  <c r="D26" i="6" l="1"/>
  <c r="R25" i="6"/>
  <c r="AF24" i="6"/>
  <c r="K24" i="6"/>
  <c r="M29" i="6"/>
  <c r="AE29" i="6" s="1"/>
  <c r="N26" i="6" l="1"/>
  <c r="O26" i="6" s="1"/>
  <c r="S25" i="6"/>
  <c r="AH25" i="6" s="1"/>
  <c r="L30" i="6"/>
  <c r="D27" i="6" l="1"/>
  <c r="E26" i="6"/>
  <c r="AG25" i="6"/>
  <c r="P26" i="6"/>
  <c r="Q26" i="6" s="1"/>
  <c r="AF25" i="6"/>
  <c r="M30" i="6"/>
  <c r="AE30" i="6" s="1"/>
  <c r="R26" i="6" l="1"/>
  <c r="S26" i="6" s="1"/>
  <c r="AH26" i="6" s="1"/>
  <c r="AG26" i="6"/>
  <c r="N27" i="6"/>
  <c r="O27" i="6" s="1"/>
  <c r="P27" i="6"/>
  <c r="Q27" i="6" s="1"/>
  <c r="K25" i="6"/>
  <c r="L31" i="6"/>
  <c r="D28" i="6" l="1"/>
  <c r="E27" i="6"/>
  <c r="R27" i="6" s="1"/>
  <c r="AF26" i="6"/>
  <c r="K26" i="6" s="1"/>
  <c r="M31" i="6"/>
  <c r="AE31" i="6" s="1"/>
  <c r="N28" i="6" l="1"/>
  <c r="O28" i="6" s="1"/>
  <c r="L32" i="6"/>
  <c r="D29" i="6" l="1"/>
  <c r="S27" i="6"/>
  <c r="AH27" i="6" s="1"/>
  <c r="E28" i="6"/>
  <c r="AG27" i="6"/>
  <c r="P28" i="6"/>
  <c r="Q28" i="6" s="1"/>
  <c r="AF27" i="6"/>
  <c r="M32" i="6"/>
  <c r="AE32" i="6" s="1"/>
  <c r="R28" i="6" l="1"/>
  <c r="N29" i="6"/>
  <c r="O29" i="6" s="1"/>
  <c r="S28" i="6"/>
  <c r="AH28" i="6" s="1"/>
  <c r="K27" i="6"/>
  <c r="L33" i="6"/>
  <c r="D30" i="6" l="1"/>
  <c r="AG28" i="6"/>
  <c r="E29" i="6"/>
  <c r="AF28" i="6"/>
  <c r="M33" i="6"/>
  <c r="AE33" i="6" s="1"/>
  <c r="P29" i="6" l="1"/>
  <c r="K28" i="6"/>
  <c r="N30" i="6"/>
  <c r="O30" i="6" s="1"/>
  <c r="L34" i="6"/>
  <c r="Q29" i="6" l="1"/>
  <c r="D31" i="6"/>
  <c r="R29" i="6"/>
  <c r="S29" i="6" s="1"/>
  <c r="AH29" i="6" s="1"/>
  <c r="P30" i="6"/>
  <c r="E30" i="6"/>
  <c r="R30" i="6" s="1"/>
  <c r="AF29" i="6"/>
  <c r="M34" i="6"/>
  <c r="AE34" i="6" s="1"/>
  <c r="Q30" i="6" l="1"/>
  <c r="AG29" i="6"/>
  <c r="K29" i="6" s="1"/>
  <c r="N31" i="6"/>
  <c r="O31" i="6" s="1"/>
  <c r="L35" i="6"/>
  <c r="D32" i="6" l="1"/>
  <c r="AG30" i="6"/>
  <c r="S30" i="6"/>
  <c r="AH30" i="6" s="1"/>
  <c r="P31" i="6"/>
  <c r="Q31" i="6" s="1"/>
  <c r="AF30" i="6"/>
  <c r="M35" i="6"/>
  <c r="AE35" i="6" s="1"/>
  <c r="AG31" i="6" l="1"/>
  <c r="K30" i="6"/>
  <c r="E31" i="6"/>
  <c r="N32" i="6"/>
  <c r="O32" i="6" s="1"/>
  <c r="P32" i="6"/>
  <c r="Q32" i="6" s="1"/>
  <c r="L36" i="6"/>
  <c r="D33" i="6" l="1"/>
  <c r="R31" i="6"/>
  <c r="S31" i="6" s="1"/>
  <c r="AH31" i="6" s="1"/>
  <c r="AF31" i="6"/>
  <c r="E32" i="6"/>
  <c r="M36" i="6"/>
  <c r="AE36" i="6" s="1"/>
  <c r="R32" i="6" l="1"/>
  <c r="K31" i="6"/>
  <c r="AG32" i="6"/>
  <c r="S32" i="6"/>
  <c r="AH32" i="6" s="1"/>
  <c r="N33" i="6"/>
  <c r="O33" i="6" s="1"/>
  <c r="P33" i="6"/>
  <c r="Q33" i="6" s="1"/>
  <c r="L37" i="6"/>
  <c r="D34" i="6" l="1"/>
  <c r="AF32" i="6"/>
  <c r="K32" i="6" s="1"/>
  <c r="E33" i="6"/>
  <c r="R33" i="6" s="1"/>
  <c r="M37" i="6"/>
  <c r="AE37" i="6" s="1"/>
  <c r="AG33" i="6" l="1"/>
  <c r="S33" i="6"/>
  <c r="AH33" i="6" s="1"/>
  <c r="N34" i="6"/>
  <c r="O34" i="6" s="1"/>
  <c r="P34" i="6"/>
  <c r="Q34" i="6" s="1"/>
  <c r="L38" i="6"/>
  <c r="D35" i="6" l="1"/>
  <c r="AF33" i="6"/>
  <c r="K33" i="6" s="1"/>
  <c r="E34" i="6"/>
  <c r="R34" i="6" s="1"/>
  <c r="M38" i="6"/>
  <c r="AE38" i="6" s="1"/>
  <c r="AG34" i="6" l="1"/>
  <c r="S34" i="6"/>
  <c r="AH34" i="6" s="1"/>
  <c r="N35" i="6"/>
  <c r="O35" i="6" s="1"/>
  <c r="P35" i="6"/>
  <c r="Q35" i="6" s="1"/>
  <c r="L39" i="6"/>
  <c r="D36" i="6" l="1"/>
  <c r="AF34" i="6"/>
  <c r="K34" i="6" s="1"/>
  <c r="E35" i="6"/>
  <c r="R35" i="6" s="1"/>
  <c r="AG35" i="6"/>
  <c r="M39" i="6"/>
  <c r="AE39" i="6" s="1"/>
  <c r="S35" i="6" l="1"/>
  <c r="AH35" i="6" s="1"/>
  <c r="N36" i="6"/>
  <c r="O36" i="6" s="1"/>
  <c r="P36" i="6"/>
  <c r="Q36" i="6" s="1"/>
  <c r="L40" i="6"/>
  <c r="D37" i="6" l="1"/>
  <c r="AF35" i="6"/>
  <c r="K35" i="6" s="1"/>
  <c r="E36" i="6"/>
  <c r="M40" i="6"/>
  <c r="AE40" i="6" s="1"/>
  <c r="R36" i="6" l="1"/>
  <c r="S36" i="6" s="1"/>
  <c r="AH36" i="6" s="1"/>
  <c r="AG36" i="6"/>
  <c r="E37" i="6"/>
  <c r="N37" i="6"/>
  <c r="O37" i="6" s="1"/>
  <c r="P37" i="6"/>
  <c r="Q37" i="6" s="1"/>
  <c r="L41" i="6"/>
  <c r="D38" i="6" l="1"/>
  <c r="R37" i="6"/>
  <c r="AF36" i="6"/>
  <c r="K36" i="6"/>
  <c r="M41" i="6"/>
  <c r="AE41" i="6" s="1"/>
  <c r="N38" i="6" l="1"/>
  <c r="O38" i="6" s="1"/>
  <c r="L42" i="6"/>
  <c r="D39" i="6" l="1"/>
  <c r="S37" i="6"/>
  <c r="AH37" i="6" s="1"/>
  <c r="E38" i="6"/>
  <c r="AG37" i="6"/>
  <c r="P38" i="6"/>
  <c r="Q38" i="6" s="1"/>
  <c r="AF37" i="6"/>
  <c r="M42" i="6"/>
  <c r="AE42" i="6" s="1"/>
  <c r="R38" i="6" l="1"/>
  <c r="S38" i="6"/>
  <c r="AH38" i="6" s="1"/>
  <c r="K37" i="6"/>
  <c r="N39" i="6"/>
  <c r="O39" i="6" s="1"/>
  <c r="L43" i="6"/>
  <c r="D40" i="6" l="1"/>
  <c r="AF38" i="6"/>
  <c r="AG38" i="6"/>
  <c r="E39" i="6"/>
  <c r="M43" i="6"/>
  <c r="AE43" i="6" s="1"/>
  <c r="P39" i="6" l="1"/>
  <c r="K38" i="6"/>
  <c r="N40" i="6"/>
  <c r="O40" i="6" s="1"/>
  <c r="L44" i="6"/>
  <c r="R39" i="6" l="1"/>
  <c r="Q39" i="6"/>
  <c r="D41" i="6"/>
  <c r="S39" i="6"/>
  <c r="AH39" i="6" s="1"/>
  <c r="E40" i="6"/>
  <c r="AG39" i="6"/>
  <c r="AF39" i="6"/>
  <c r="M44" i="6"/>
  <c r="AE44" i="6" s="1"/>
  <c r="P40" i="6" l="1"/>
  <c r="Q40" i="6" s="1"/>
  <c r="R40" i="6"/>
  <c r="S40" i="6" s="1"/>
  <c r="AH40" i="6" s="1"/>
  <c r="N41" i="6"/>
  <c r="O41" i="6" s="1"/>
  <c r="K39" i="6"/>
  <c r="L45" i="6"/>
  <c r="Q41" i="6" l="1"/>
  <c r="AG40" i="6"/>
  <c r="P41" i="6"/>
  <c r="D42" i="6"/>
  <c r="AF40" i="6"/>
  <c r="E41" i="6"/>
  <c r="R41" i="6" s="1"/>
  <c r="M45" i="6"/>
  <c r="AE45" i="6" s="1"/>
  <c r="K40" i="6" l="1"/>
  <c r="N42" i="6"/>
  <c r="O42" i="6" s="1"/>
  <c r="L46" i="6"/>
  <c r="D43" i="6" l="1"/>
  <c r="S41" i="6"/>
  <c r="AH41" i="6" s="1"/>
  <c r="E42" i="6"/>
  <c r="AG41" i="6"/>
  <c r="P42" i="6"/>
  <c r="Q42" i="6" s="1"/>
  <c r="AF41" i="6"/>
  <c r="M46" i="6"/>
  <c r="AE46" i="6" s="1"/>
  <c r="R42" i="6" l="1"/>
  <c r="N43" i="6"/>
  <c r="O43" i="6" s="1"/>
  <c r="S42" i="6"/>
  <c r="AH42" i="6" s="1"/>
  <c r="K41" i="6"/>
  <c r="L47" i="6"/>
  <c r="D44" i="6" l="1"/>
  <c r="AG42" i="6"/>
  <c r="E43" i="6"/>
  <c r="P43" i="6"/>
  <c r="Q43" i="6" s="1"/>
  <c r="AF42" i="6"/>
  <c r="K42" i="6" s="1"/>
  <c r="M47" i="6"/>
  <c r="AE47" i="6" s="1"/>
  <c r="R43" i="6" l="1"/>
  <c r="AG43" i="6"/>
  <c r="S43" i="6"/>
  <c r="AH43" i="6" s="1"/>
  <c r="N44" i="6"/>
  <c r="O44" i="6" s="1"/>
  <c r="P44" i="6"/>
  <c r="Q44" i="6" s="1"/>
  <c r="L48" i="6"/>
  <c r="D45" i="6" l="1"/>
  <c r="AF43" i="6"/>
  <c r="K43" i="6"/>
  <c r="E44" i="6"/>
  <c r="R44" i="6" s="1"/>
  <c r="M48" i="6"/>
  <c r="AE48" i="6" s="1"/>
  <c r="N45" i="6" l="1"/>
  <c r="O45" i="6" s="1"/>
  <c r="L49" i="6"/>
  <c r="D46" i="6" l="1"/>
  <c r="S44" i="6"/>
  <c r="AH44" i="6" s="1"/>
  <c r="AG44" i="6"/>
  <c r="E45" i="6"/>
  <c r="AF44" i="6"/>
  <c r="K44" i="6" s="1"/>
  <c r="M49" i="6"/>
  <c r="AE49" i="6" s="1"/>
  <c r="P45" i="6" l="1"/>
  <c r="N46" i="6"/>
  <c r="O46" i="6" s="1"/>
  <c r="L50" i="6"/>
  <c r="R45" i="6" l="1"/>
  <c r="S45" i="6" s="1"/>
  <c r="AH45" i="6" s="1"/>
  <c r="Q45" i="6"/>
  <c r="D47" i="6"/>
  <c r="AG45" i="6"/>
  <c r="E46" i="6"/>
  <c r="P46" i="6"/>
  <c r="AF45" i="6"/>
  <c r="M50" i="6"/>
  <c r="AE50" i="6" s="1"/>
  <c r="Q46" i="6" l="1"/>
  <c r="K45" i="6"/>
  <c r="R46" i="6"/>
  <c r="N47" i="6"/>
  <c r="O47" i="6" s="1"/>
  <c r="S46" i="6"/>
  <c r="AH46" i="6" s="1"/>
  <c r="L51" i="6"/>
  <c r="D48" i="6" l="1"/>
  <c r="AG46" i="6"/>
  <c r="E47" i="6"/>
  <c r="AF46" i="6"/>
  <c r="M51" i="6"/>
  <c r="AE51" i="6" s="1"/>
  <c r="K46" i="6" l="1"/>
  <c r="P47" i="6"/>
  <c r="Q47" i="6" s="1"/>
  <c r="R47" i="6"/>
  <c r="S47" i="6" s="1"/>
  <c r="AH47" i="6" s="1"/>
  <c r="AG47" i="6"/>
  <c r="N48" i="6"/>
  <c r="O48" i="6" s="1"/>
  <c r="P48" i="6"/>
  <c r="L52" i="6"/>
  <c r="Q48" i="6" l="1"/>
  <c r="D49" i="6"/>
  <c r="E48" i="6"/>
  <c r="R48" i="6" s="1"/>
  <c r="AF47" i="6"/>
  <c r="K47" i="6" s="1"/>
  <c r="M52" i="6"/>
  <c r="AE52" i="6" s="1"/>
  <c r="N49" i="6" l="1"/>
  <c r="O49" i="6" s="1"/>
  <c r="L53" i="6"/>
  <c r="M53" i="6" s="1"/>
  <c r="AE53" i="6" s="1"/>
  <c r="D50" i="6" l="1"/>
  <c r="AG48" i="6"/>
  <c r="S48" i="6"/>
  <c r="AH48" i="6" s="1"/>
  <c r="P49" i="6"/>
  <c r="Q49" i="6" s="1"/>
  <c r="AF48" i="6"/>
  <c r="K48" i="6" l="1"/>
  <c r="N50" i="6"/>
  <c r="AG49" i="6"/>
  <c r="E49" i="6"/>
  <c r="R49" i="6" s="1"/>
  <c r="D51" i="6" l="1"/>
  <c r="O50" i="6"/>
  <c r="P50" i="6"/>
  <c r="Q50" i="6" s="1"/>
  <c r="AF49" i="6"/>
  <c r="S49" i="6"/>
  <c r="AH49" i="6" s="1"/>
  <c r="E50" i="6" l="1"/>
  <c r="R50" i="6" s="1"/>
  <c r="K49" i="6"/>
  <c r="N51" i="6"/>
  <c r="D52" i="6" s="1"/>
  <c r="AG50" i="6"/>
  <c r="O51" i="6" l="1"/>
  <c r="P51" i="6"/>
  <c r="Q51" i="6" s="1"/>
  <c r="AF50" i="6"/>
  <c r="S50" i="6"/>
  <c r="AH50" i="6" s="1"/>
  <c r="K50" i="6" l="1"/>
  <c r="AG51" i="6"/>
  <c r="N52" i="6"/>
  <c r="D53" i="6" s="1"/>
  <c r="P52" i="6"/>
  <c r="Q52" i="6" s="1"/>
  <c r="E51" i="6"/>
  <c r="O52" i="6" l="1"/>
  <c r="R51" i="6"/>
  <c r="S51" i="6" s="1"/>
  <c r="AH51" i="6" s="1"/>
  <c r="E52" i="6"/>
  <c r="AF51" i="6"/>
  <c r="K51" i="6" l="1"/>
  <c r="R52" i="6"/>
  <c r="S52" i="6" s="1"/>
  <c r="AH52" i="6" s="1"/>
  <c r="N53" i="6"/>
  <c r="O53" i="6" s="1"/>
  <c r="E53" i="6" l="1"/>
  <c r="AG52" i="6"/>
  <c r="AF52" i="6"/>
  <c r="K52" i="6" s="1"/>
  <c r="P53" i="6" l="1"/>
  <c r="AF53" i="6"/>
  <c r="R53" i="6" l="1"/>
  <c r="S53" i="6" s="1"/>
  <c r="AH53" i="6" s="1"/>
  <c r="Q53" i="6"/>
  <c r="AG53" i="6" s="1"/>
  <c r="K53" i="6"/>
  <c r="K54"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Faersheed Hesaraki</author>
  </authors>
  <commentList>
    <comment ref="C2" authorId="0" shapeId="0" xr:uid="{00000000-0006-0000-0000-000001000000}">
      <text>
        <r>
          <rPr>
            <b/>
            <sz val="9"/>
            <color indexed="81"/>
            <rFont val="Tahoma"/>
            <family val="2"/>
          </rPr>
          <t>Faersheed Hesaraki:</t>
        </r>
        <r>
          <rPr>
            <sz val="9"/>
            <color indexed="81"/>
            <rFont val="Tahoma"/>
            <family val="2"/>
          </rPr>
          <t xml:space="preserve">
external arrivals to the first phase of the outpatient clinic </t>
        </r>
      </text>
    </comment>
    <comment ref="D2" authorId="0" shapeId="0" xr:uid="{00000000-0006-0000-0000-000002000000}">
      <text>
        <r>
          <rPr>
            <b/>
            <sz val="9"/>
            <color indexed="81"/>
            <rFont val="Tahoma"/>
            <family val="2"/>
          </rPr>
          <t>Faersheed Hesaraki:</t>
        </r>
        <r>
          <rPr>
            <sz val="9"/>
            <color indexed="81"/>
            <rFont val="Tahoma"/>
            <family val="2"/>
          </rPr>
          <t xml:space="preserve">
based on appointments from last year</t>
        </r>
      </text>
    </comment>
    <comment ref="E2" authorId="0" shapeId="0" xr:uid="{00000000-0006-0000-0000-000003000000}">
      <text>
        <r>
          <rPr>
            <b/>
            <sz val="9"/>
            <color indexed="81"/>
            <rFont val="Tahoma"/>
            <family val="2"/>
          </rPr>
          <t>Faersheed Hesaraki:</t>
        </r>
        <r>
          <rPr>
            <sz val="9"/>
            <color indexed="81"/>
            <rFont val="Tahoma"/>
            <family val="2"/>
          </rPr>
          <t xml:space="preserve">
based on appointments from last year</t>
        </r>
      </text>
    </comment>
    <comment ref="F2" authorId="0" shapeId="0" xr:uid="{00000000-0006-0000-0000-000004000000}">
      <text>
        <r>
          <rPr>
            <b/>
            <sz val="9"/>
            <color indexed="81"/>
            <rFont val="Tahoma"/>
            <family val="2"/>
          </rPr>
          <t>Faersheed Hesaraki:</t>
        </r>
        <r>
          <rPr>
            <sz val="9"/>
            <color indexed="81"/>
            <rFont val="Tahoma"/>
            <family val="2"/>
          </rPr>
          <t xml:space="preserve">
total number of sessions available this week </t>
        </r>
      </text>
    </comment>
    <comment ref="G2" authorId="0" shapeId="0" xr:uid="{00000000-0006-0000-0000-000005000000}">
      <text>
        <r>
          <rPr>
            <b/>
            <sz val="9"/>
            <color rgb="FF000000"/>
            <rFont val="Tahoma"/>
            <family val="2"/>
          </rPr>
          <t>Faersheed Hesaraki:</t>
        </r>
        <r>
          <rPr>
            <sz val="9"/>
            <color rgb="FF000000"/>
            <rFont val="Tahoma"/>
            <family val="2"/>
          </rPr>
          <t xml:space="preserve">
</t>
        </r>
        <r>
          <rPr>
            <sz val="9"/>
            <color rgb="FF000000"/>
            <rFont val="Tahoma"/>
            <family val="2"/>
          </rPr>
          <t xml:space="preserve">as an example 
</t>
        </r>
        <r>
          <rPr>
            <sz val="9"/>
            <color rgb="FF000000"/>
            <rFont val="Tahoma"/>
            <family val="2"/>
          </rPr>
          <t xml:space="preserve">
</t>
        </r>
        <r>
          <rPr>
            <sz val="9"/>
            <color rgb="FF000000"/>
            <rFont val="Tahoma"/>
            <family val="2"/>
          </rPr>
          <t xml:space="preserve">You should come up with a solution rule to fill these two red columns while splitting the capacity between them and minimizing the cost. Here, the capacity of 18 sessions is split into 11 outpatient and 7 operation sessions.
</t>
        </r>
        <r>
          <rPr>
            <sz val="9"/>
            <color rgb="FF000000"/>
            <rFont val="Tahoma"/>
            <family val="2"/>
          </rPr>
          <t xml:space="preserve">
</t>
        </r>
        <r>
          <rPr>
            <sz val="9"/>
            <color rgb="FF000000"/>
            <rFont val="Tahoma"/>
            <family val="2"/>
          </rPr>
          <t>Note: The sum of these two columns (number of sessions) cannot exceed the capacity. But if your solution needs fewer sessions than the available capacity, the sum of the two number of sessions can be less than the available capacity.</t>
        </r>
      </text>
    </comment>
    <comment ref="H2" authorId="0" shapeId="0" xr:uid="{00000000-0006-0000-0000-000006000000}">
      <text>
        <r>
          <rPr>
            <b/>
            <sz val="9"/>
            <color indexed="81"/>
            <rFont val="Tahoma"/>
            <family val="2"/>
          </rPr>
          <t>Faersheed Hesaraki:</t>
        </r>
        <r>
          <rPr>
            <sz val="9"/>
            <color indexed="81"/>
            <rFont val="Tahoma"/>
            <family val="2"/>
          </rPr>
          <t xml:space="preserve">
as an example</t>
        </r>
      </text>
    </comment>
    <comment ref="V4" authorId="0" shapeId="0" xr:uid="{00000000-0006-0000-0000-000007000000}">
      <text>
        <r>
          <rPr>
            <b/>
            <sz val="9"/>
            <color indexed="81"/>
            <rFont val="Tahoma"/>
            <family val="2"/>
          </rPr>
          <t>Faersheed Hesaraki:</t>
        </r>
        <r>
          <rPr>
            <sz val="9"/>
            <color indexed="81"/>
            <rFont val="Tahoma"/>
            <family val="2"/>
          </rPr>
          <t xml:space="preserve">
the </t>
        </r>
        <r>
          <rPr>
            <b/>
            <u/>
            <sz val="9"/>
            <color indexed="81"/>
            <rFont val="Tahoma"/>
            <family val="2"/>
          </rPr>
          <t>fraction</t>
        </r>
        <r>
          <rPr>
            <sz val="9"/>
            <color indexed="81"/>
            <rFont val="Tahoma"/>
            <family val="2"/>
          </rPr>
          <t xml:space="preserve"> of patients who move from the outpatient clinic P to the operation room after 1 week</t>
        </r>
      </text>
    </comment>
    <comment ref="AC4" authorId="0" shapeId="0" xr:uid="{00000000-0006-0000-0000-000008000000}">
      <text>
        <r>
          <rPr>
            <b/>
            <sz val="9"/>
            <color rgb="FF000000"/>
            <rFont val="Tahoma"/>
            <family val="2"/>
          </rPr>
          <t>Faersheed Hesaraki:</t>
        </r>
        <r>
          <rPr>
            <sz val="9"/>
            <color rgb="FF000000"/>
            <rFont val="Tahoma"/>
            <family val="2"/>
          </rPr>
          <t xml:space="preserve">
</t>
        </r>
        <r>
          <rPr>
            <sz val="9"/>
            <color rgb="FF000000"/>
            <rFont val="Tahoma"/>
            <family val="2"/>
          </rPr>
          <t>average number of patients treated in an outpatient clinic session</t>
        </r>
      </text>
    </comment>
  </commentList>
</comments>
</file>

<file path=xl/sharedStrings.xml><?xml version="1.0" encoding="utf-8"?>
<sst xmlns="http://schemas.openxmlformats.org/spreadsheetml/2006/main" count="29" uniqueCount="29">
  <si>
    <t>P1</t>
  </si>
  <si>
    <t>P2</t>
  </si>
  <si>
    <t>week</t>
  </si>
  <si>
    <t>O</t>
  </si>
  <si>
    <t>lead time</t>
  </si>
  <si>
    <t>capacity</t>
  </si>
  <si>
    <t>P1,O</t>
  </si>
  <si>
    <t>P1,P2</t>
  </si>
  <si>
    <t>P-sessions</t>
  </si>
  <si>
    <t>O-sessions</t>
  </si>
  <si>
    <t>treated P1</t>
  </si>
  <si>
    <t>delayed P1</t>
  </si>
  <si>
    <t>treated P2</t>
  </si>
  <si>
    <t>delayed P2</t>
  </si>
  <si>
    <t>treated O</t>
  </si>
  <si>
    <t>delayed O</t>
  </si>
  <si>
    <t>treated P3</t>
  </si>
  <si>
    <t>delayed P3</t>
  </si>
  <si>
    <t>P3P3</t>
  </si>
  <si>
    <t>P2,P3</t>
  </si>
  <si>
    <t>P2,O</t>
  </si>
  <si>
    <t>O,P2</t>
  </si>
  <si>
    <t>P3</t>
  </si>
  <si>
    <t>p.s.(-2)</t>
  </si>
  <si>
    <t>o.s.(-2)</t>
  </si>
  <si>
    <t>p.s.(0)</t>
  </si>
  <si>
    <t>o.s.(0)</t>
  </si>
  <si>
    <t>COST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</si>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</sst>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sz val="9"/>
      <color indexed="81"/>
      <name val="Tahoma"/>
      <family val="2"/>
    </font>
    <font>
      <b/>
      <sz val="9"/>
      <color indexed="81"/>
      <name val="Tahoma"/>
      <family val="2"/>
    </font>
    <font>
      <sz val="11"/>
      <color theme="1"/>
      <name val="Cambria"/>
      <family val="1"/>
      <scheme val="major"/>
    </font>
    <font>
      <b/>
      <sz val="11"/>
      <color theme="1"/>
      <name val="Calibri"/>
      <family val="2"/>
      <scheme val="minor"/>
    </font>
    <font>
      <b/>
      <sz val="11"/>
      <color rgb="FFC00000"/>
      <name val="Calibri"/>
      <family val="2"/>
      <scheme val="minor"/>
    </font>
    <font>
      <b/>
      <u/>
      <sz val="9"/>
      <color indexed="81"/>
      <name val="Tahoma"/>
      <family val="2"/>
    </font>
    <font>
      <b/>
      <sz val="11"/>
      <color rgb="FF0000FF"/>
      <name val="Calibri"/>
      <family val="2"/>
      <scheme val="minor"/>
    </font>
    <font>
      <sz val="11"/>
      <color rgb="FFFF0000"/>
      <name val="Calibri"/>
      <family val="2"/>
      <scheme val="minor"/>
    </font>
    <font>
      <b/>
      <sz val="9"/>
      <color rgb="FF000000"/>
      <name val="Tahoma"/>
      <family val="2"/>
    </font>
    <font>
      <sz val="9"/>
      <color rgb="FF000000"/>
      <name val="Tahoma"/>
      <family val="2"/>
    </font>
  </fonts>
  <fills count="7">
    <fill>
      <patternFill patternType="none"/>
    </fill>
    <fill>
      <patternFill patternType="gray125"/>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FFCC"/>
        <bgColor indexed="64"/>
      </patternFill>
    </fill>
    <fill>
      <patternFill patternType="solid">
        <fgColor theme="6" tint="0.79998168889431442"/>
        <bgColor indexed="64"/>
      </patternFill>
    </fill>
  </fills>
  <borders count="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s>
  <cellStyleXfs count="1">
    <xf numFmtId="0" fontId="0" fillId="0" borderId="0"/>
  </cellStyleXfs>
  <cellXfs count="26">
    <xf numFmtId="0" fontId="0" fillId="0" borderId="0" xfId="0"/>
    <xf numFmtId="0" fontId="3" fillId="0" borderId="0" xfId="0" applyFont="1"/>
    <xf numFmtId="0" fontId="4" fillId="2" borderId="0" xfId="0" applyFont="1" applyFill="1" applyAlignment="1">
      <alignment horizontal="right"/>
    </xf>
    <xf numFmtId="0" fontId="4" fillId="2" borderId="0" xfId="0" applyFont="1" applyFill="1" applyAlignment="1">
      <alignment horizontal="center"/>
    </xf>
    <xf numFmtId="0" fontId="0" fillId="0" borderId="0" xfId="0" applyAlignment="1">
      <alignment horizontal="right" indent="4"/>
    </xf>
    <xf numFmtId="0" fontId="4" fillId="2" borderId="0" xfId="0" applyFont="1" applyFill="1" applyAlignment="1">
      <alignment horizontal="right" indent="4"/>
    </xf>
    <xf numFmtId="0" fontId="4" fillId="2" borderId="0" xfId="0" applyFont="1" applyFill="1" applyAlignment="1">
      <alignment horizontal="left"/>
    </xf>
    <xf numFmtId="0" fontId="5" fillId="2" borderId="1" xfId="0" applyFont="1" applyFill="1" applyBorder="1" applyAlignment="1">
      <alignment horizontal="center"/>
    </xf>
    <xf numFmtId="0" fontId="5" fillId="2" borderId="2" xfId="0" applyFont="1" applyFill="1" applyBorder="1" applyAlignment="1">
      <alignment horizontal="center"/>
    </xf>
    <xf numFmtId="0" fontId="0" fillId="3" borderId="3" xfId="0" applyFill="1" applyBorder="1" applyAlignment="1">
      <alignment horizontal="right" indent="4"/>
    </xf>
    <xf numFmtId="0" fontId="0" fillId="3" borderId="4" xfId="0" applyFill="1" applyBorder="1" applyAlignment="1">
      <alignment horizontal="right" indent="4"/>
    </xf>
    <xf numFmtId="0" fontId="7" fillId="0" borderId="0" xfId="0" applyFont="1" applyAlignment="1">
      <alignment horizontal="right" indent="4"/>
    </xf>
    <xf numFmtId="0" fontId="7" fillId="0" borderId="0" xfId="0" applyFont="1"/>
    <xf numFmtId="2" fontId="7" fillId="0" borderId="0" xfId="0" applyNumberFormat="1" applyFont="1"/>
    <xf numFmtId="0" fontId="4" fillId="2" borderId="0" xfId="0" applyFont="1" applyFill="1"/>
    <xf numFmtId="164" fontId="0" fillId="0" borderId="0" xfId="0" applyNumberFormat="1" applyAlignment="1">
      <alignment horizontal="right" indent="4"/>
    </xf>
    <xf numFmtId="0" fontId="0" fillId="0" borderId="0" xfId="0" applyAlignment="1">
      <alignment horizontal="left" vertical="center" indent="4"/>
    </xf>
    <xf numFmtId="2" fontId="8" fillId="0" borderId="0" xfId="0" applyNumberFormat="1" applyFont="1"/>
    <xf numFmtId="0" fontId="0" fillId="3" borderId="1" xfId="0" applyFill="1" applyBorder="1" applyAlignment="1">
      <alignment horizontal="right" indent="4"/>
    </xf>
    <xf numFmtId="0" fontId="0" fillId="3" borderId="2" xfId="0" applyFill="1" applyBorder="1" applyAlignment="1">
      <alignment horizontal="right" indent="4"/>
    </xf>
    <xf numFmtId="0" fontId="7" fillId="4" borderId="0" xfId="0" applyFont="1" applyFill="1" applyAlignment="1">
      <alignment horizontal="right" indent="4"/>
    </xf>
    <xf numFmtId="0" fontId="0" fillId="5" borderId="1" xfId="0" applyFill="1" applyBorder="1" applyAlignment="1">
      <alignment horizontal="right" indent="4"/>
    </xf>
    <xf numFmtId="0" fontId="0" fillId="5" borderId="2" xfId="0" applyFill="1" applyBorder="1" applyAlignment="1">
      <alignment horizontal="right" indent="4"/>
    </xf>
    <xf numFmtId="0" fontId="0" fillId="5" borderId="3" xfId="0" applyFill="1" applyBorder="1" applyAlignment="1">
      <alignment horizontal="right" indent="4"/>
    </xf>
    <xf numFmtId="0" fontId="0" fillId="5" borderId="4" xfId="0" applyFill="1" applyBorder="1" applyAlignment="1">
      <alignment horizontal="right" indent="4"/>
    </xf>
    <xf numFmtId="0" fontId="0" fillId="6" borderId="5" xfId="0" applyFill="1" applyBorder="1"/>
  </cellXfs>
  <cellStyles count="1">
    <cellStyle name="Normal" xfId="0" builtinId="0"/>
  </cellStyles>
  <dxfs count="0"/>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20</xdr:col>
      <xdr:colOff>148368</xdr:colOff>
      <xdr:row>21</xdr:row>
      <xdr:rowOff>127343</xdr:rowOff>
    </xdr:from>
    <xdr:to>
      <xdr:col>28</xdr:col>
      <xdr:colOff>390598</xdr:colOff>
      <xdr:row>41</xdr:row>
      <xdr:rowOff>4396</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7505035" y="4254843"/>
          <a:ext cx="5685087" cy="3808005"/>
          <a:chOff x="5686006" y="832843"/>
          <a:chExt cx="4447710" cy="3582078"/>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5844897" y="832843"/>
            <a:ext cx="4136114" cy="2086049"/>
          </a:xfrm>
          <a:prstGeom prst="rect">
            <a:avLst/>
          </a:prstGeom>
        </xdr:spPr>
      </xdr:pic>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5686006" y="2914953"/>
            <a:ext cx="4447710" cy="1499968"/>
          </a:xfrm>
          <a:prstGeom prst="rect">
            <a:avLst/>
          </a:prstGeom>
        </xdr:spPr>
      </xdr:pic>
    </xdr:grpSp>
    <xdr:clientData/>
  </xdr:twoCellAnchor>
  <xdr:twoCellAnchor editAs="oneCell">
    <xdr:from>
      <xdr:col>19</xdr:col>
      <xdr:colOff>446478</xdr:colOff>
      <xdr:row>64</xdr:row>
      <xdr:rowOff>126756</xdr:rowOff>
    </xdr:from>
    <xdr:to>
      <xdr:col>27</xdr:col>
      <xdr:colOff>469082</xdr:colOff>
      <xdr:row>92</xdr:row>
      <xdr:rowOff>72682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16201343" y="13307297"/>
          <a:ext cx="5514496" cy="5712412"/>
        </a:xfrm>
        <a:prstGeom prst="rect">
          <a:avLst/>
        </a:prstGeom>
      </xdr:spPr>
    </xdr:pic>
    <xdr:clientData/>
  </xdr:twoCellAnchor>
  <xdr:oneCellAnchor>
    <xdr:from>
      <xdr:col>19</xdr:col>
      <xdr:colOff>421508</xdr:colOff>
      <xdr:row>44</xdr:row>
      <xdr:rowOff>84581</xdr:rowOff>
    </xdr:from>
    <xdr:ext cx="6701118" cy="3729226"/>
    <xdr:sp macro="" textlink="">
      <xdr:nvSpPr>
        <xdr:cNvPr id="2" name="TextBox 1">
          <a:extLst>
            <a:ext uri="{FF2B5EF4-FFF2-40B4-BE49-F238E27FC236}">
              <a16:creationId xmlns:a16="http://schemas.microsoft.com/office/drawing/2014/main" id="{26C9B2BD-B050-4DD0-93FB-C16C7834EF97}"/>
            </a:ext>
          </a:extLst>
        </xdr:cNvPr>
        <xdr:cNvSpPr txBox="1"/>
      </xdr:nvSpPr>
      <xdr:spPr>
        <a:xfrm>
          <a:off x="16208314" y="8639442"/>
          <a:ext cx="6701118" cy="372922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600" b="1" i="1" baseline="0">
              <a:solidFill>
                <a:srgbClr val="C00000"/>
              </a:solidFill>
              <a:effectLst/>
              <a:latin typeface="MV Boli" panose="02000500030200090000" pitchFamily="2" charset="0"/>
              <a:ea typeface="+mn-ea"/>
              <a:cs typeface="MV Boli" panose="02000500030200090000" pitchFamily="2" charset="0"/>
            </a:rPr>
            <a:t>You must book sessions, two weeks in advance. AT THE BEGINNING OF A WEEK, YOU CANNOT ADD SESSIONS (ONLY CANCEL OR CHANGE)! So the sum of the yellow sessions cannot exceed the red sessions. </a:t>
          </a:r>
          <a:endParaRPr lang="en-US" sz="2000" b="1">
            <a:solidFill>
              <a:srgbClr val="C00000"/>
            </a:solidFill>
            <a:effectLst/>
            <a:latin typeface="MV Boli" panose="02000500030200090000" pitchFamily="2" charset="0"/>
            <a:cs typeface="MV Boli" panose="02000500030200090000" pitchFamily="2" charset="0"/>
          </a:endParaRPr>
        </a:p>
        <a:p>
          <a:r>
            <a:rPr lang="en-US" sz="1400" b="1" i="1">
              <a:solidFill>
                <a:srgbClr val="C00000"/>
              </a:solidFill>
              <a:latin typeface="MV Boli" panose="02000500030200090000" pitchFamily="2" charset="0"/>
              <a:cs typeface="MV Boli" panose="02000500030200090000" pitchFamily="2" charset="0"/>
            </a:rPr>
            <a:t>The red column is the preliminary decision from two weeks in advance for that week. The yellow column is the final and executed decision. Cost should be calculated based on the yellow column and how it changed from the red column. The gray columns and cells are fixed and will not change in the process. The white cells</a:t>
          </a:r>
          <a:r>
            <a:rPr lang="en-US" sz="1400" b="1" i="1" baseline="0">
              <a:solidFill>
                <a:srgbClr val="C00000"/>
              </a:solidFill>
              <a:latin typeface="MV Boli" panose="02000500030200090000" pitchFamily="2" charset="0"/>
              <a:cs typeface="MV Boli" panose="02000500030200090000" pitchFamily="2" charset="0"/>
            </a:rPr>
            <a:t> may change as new patients will be added to them from prior weeks (not just last week). You should come up with </a:t>
          </a:r>
          <a:r>
            <a:rPr lang="en-US" sz="1400" b="1" i="1" u="sng" baseline="0">
              <a:solidFill>
                <a:srgbClr val="C00000"/>
              </a:solidFill>
              <a:latin typeface="MV Boli" panose="02000500030200090000" pitchFamily="2" charset="0"/>
              <a:cs typeface="MV Boli" panose="02000500030200090000" pitchFamily="2" charset="0"/>
            </a:rPr>
            <a:t>rules</a:t>
          </a:r>
          <a:r>
            <a:rPr lang="en-US" sz="1400" b="1" i="1" baseline="0">
              <a:solidFill>
                <a:srgbClr val="C00000"/>
              </a:solidFill>
              <a:latin typeface="MV Boli" panose="02000500030200090000" pitchFamily="2" charset="0"/>
              <a:cs typeface="MV Boli" panose="02000500030200090000" pitchFamily="2" charset="0"/>
            </a:rPr>
            <a:t> for the two weeks in advance decisions (red columns) and the same week adjustments (yellow columns) that are </a:t>
          </a:r>
          <a:r>
            <a:rPr lang="en-US" sz="1400" b="1" i="1" u="sng" baseline="0">
              <a:solidFill>
                <a:srgbClr val="C00000"/>
              </a:solidFill>
              <a:latin typeface="MV Boli" panose="02000500030200090000" pitchFamily="2" charset="0"/>
              <a:cs typeface="MV Boli" panose="02000500030200090000" pitchFamily="2" charset="0"/>
            </a:rPr>
            <a:t>consistently</a:t>
          </a:r>
          <a:r>
            <a:rPr lang="en-US" sz="1400" b="1" i="1" baseline="0">
              <a:solidFill>
                <a:srgbClr val="C00000"/>
              </a:solidFill>
              <a:latin typeface="MV Boli" panose="02000500030200090000" pitchFamily="2" charset="0"/>
              <a:cs typeface="MV Boli" panose="02000500030200090000" pitchFamily="2" charset="0"/>
            </a:rPr>
            <a:t> applied week-by-week. </a:t>
          </a:r>
        </a:p>
      </xdr:txBody>
    </xdr:sp>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890B9EC-0074-2E47-9948-28D2F1CAE118}">
  <we:reference id="wa200009404" version="1.0.0.8" store="en-US" storeType="OMEX"/>
  <we:alternateReferences>
    <we:reference id="wa200009404" version="1.0.0.8" store="en-US" storeType="OMEX"/>
  </we:alternateReferences>
  <we:properties>
    <we:property name="claude.fileId" value="&quot;5967b337-1e6f-4f7c-9997-20cc82da2162&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H55"/>
  <sheetViews>
    <sheetView tabSelected="1" zoomScale="84" zoomScaleNormal="72" workbookViewId="0">
      <selection activeCell="D10" sqref="D10"/>
    </sheetView>
  </sheetViews>
  <sheetFormatPr baseColWidth="10" defaultColWidth="8.83203125" defaultRowHeight="15" x14ac:dyDescent="0.2"/>
  <cols>
    <col min="1" max="1" width="9.33203125" style="4" customWidth="1"/>
    <col min="2" max="3" width="11.6640625" style="4" customWidth="1"/>
    <col min="4" max="5" width="16.33203125" style="4" bestFit="1" customWidth="1"/>
    <col min="6" max="6" width="9.83203125" style="4" customWidth="1"/>
    <col min="7" max="10" width="8.5" style="4" customWidth="1"/>
    <col min="11" max="11" width="22.1640625" style="4" customWidth="1"/>
    <col min="12" max="19" width="10.83203125" style="4" customWidth="1"/>
  </cols>
  <sheetData>
    <row r="1" spans="1:34" ht="16" thickBot="1" x14ac:dyDescent="0.25">
      <c r="A1" s="6" t="s">
        <v>2</v>
      </c>
      <c r="B1" s="5" t="s">
        <v>3</v>
      </c>
      <c r="C1" s="5" t="s">
        <v>0</v>
      </c>
      <c r="D1" s="5" t="s">
        <v>1</v>
      </c>
      <c r="E1" s="5" t="s">
        <v>22</v>
      </c>
      <c r="F1" s="3" t="s">
        <v>5</v>
      </c>
      <c r="G1" s="7" t="s">
        <v>23</v>
      </c>
      <c r="H1" s="8" t="s">
        <v>24</v>
      </c>
      <c r="I1" s="7" t="s">
        <v>25</v>
      </c>
      <c r="J1" s="8" t="s">
        <v>26</v>
      </c>
      <c r="K1" s="3" t="s">
        <v>27</v>
      </c>
      <c r="L1" s="3" t="s">
        <v>14</v>
      </c>
      <c r="M1" s="3" t="s">
        <v>15</v>
      </c>
      <c r="N1" s="3" t="s">
        <v>10</v>
      </c>
      <c r="O1" s="3" t="s">
        <v>11</v>
      </c>
      <c r="P1" s="3" t="s">
        <v>12</v>
      </c>
      <c r="Q1" s="3" t="s">
        <v>13</v>
      </c>
      <c r="R1" s="3" t="s">
        <v>16</v>
      </c>
      <c r="S1" s="3" t="s">
        <v>17</v>
      </c>
    </row>
    <row r="2" spans="1:34" ht="16" thickBot="1" x14ac:dyDescent="0.25">
      <c r="A2" s="5">
        <v>1</v>
      </c>
      <c r="B2" s="20">
        <v>23</v>
      </c>
      <c r="C2" s="20">
        <v>30</v>
      </c>
      <c r="D2" s="20">
        <v>19</v>
      </c>
      <c r="E2" s="20">
        <v>11</v>
      </c>
      <c r="F2" s="20">
        <v>18</v>
      </c>
      <c r="G2" s="21">
        <v>11</v>
      </c>
      <c r="H2" s="22">
        <v>7</v>
      </c>
      <c r="I2" s="18">
        <v>4</v>
      </c>
      <c r="J2" s="19">
        <v>8</v>
      </c>
      <c r="K2" s="25">
        <f>G2*50+H2*100+IF(I2&lt;G2,(I2-G2)*30,IF(I2&gt;G2,(I2-G2)*75,0))+IF(J2&lt;H2,(J2-H2)*50,IF(J2&gt;H2,(J2-H2)*75,0))+M2*20*AE2^2+O2*3*AF2^2+Q2*2*AG2^2+S2*1*AH2^2</f>
        <v>1115</v>
      </c>
      <c r="L2">
        <f>MIN(B2, $AC$6*J2)</f>
        <v>23</v>
      </c>
      <c r="M2">
        <f>B2-L2</f>
        <v>0</v>
      </c>
      <c r="N2">
        <f>MIN(C2,$AC$4*I2)</f>
        <v>30</v>
      </c>
      <c r="O2">
        <f>C2-N2</f>
        <v>0</v>
      </c>
      <c r="P2">
        <f>MIN(D2,$AC$4*I2-N2)</f>
        <v>19</v>
      </c>
      <c r="Q2">
        <f>D2-P2</f>
        <v>0</v>
      </c>
      <c r="R2">
        <f>MIN(E2,$AC$4*I2-N2-P2)</f>
        <v>11</v>
      </c>
      <c r="S2">
        <f>E2-R2</f>
        <v>0</v>
      </c>
      <c r="AE2">
        <f>IF(M2&gt;0,1,0)</f>
        <v>0</v>
      </c>
      <c r="AF2">
        <f>IF(O2&gt;0,1,0)</f>
        <v>0</v>
      </c>
      <c r="AG2">
        <f>IF(Q2&gt;0,1,0)</f>
        <v>0</v>
      </c>
      <c r="AH2">
        <f>IF(S2&gt;0,1,0)</f>
        <v>0</v>
      </c>
    </row>
    <row r="3" spans="1:34" ht="16" thickBot="1" x14ac:dyDescent="0.25">
      <c r="A3" s="5">
        <f>A2+1</f>
        <v>2</v>
      </c>
      <c r="B3" s="11">
        <v>22</v>
      </c>
      <c r="C3" s="20">
        <v>60</v>
      </c>
      <c r="D3" s="11">
        <v>25</v>
      </c>
      <c r="E3" s="11">
        <v>17</v>
      </c>
      <c r="F3" s="20">
        <v>18</v>
      </c>
      <c r="G3" s="23">
        <f>F3-ROUND(F3/2,0)</f>
        <v>9</v>
      </c>
      <c r="H3" s="24">
        <f>ROUND(F3/2,0)</f>
        <v>9</v>
      </c>
      <c r="I3" s="9">
        <f>G3</f>
        <v>9</v>
      </c>
      <c r="J3" s="10">
        <f>H3</f>
        <v>9</v>
      </c>
      <c r="K3" s="25">
        <f t="shared" ref="K3:K53" si="0">G3*50+H3*100+IF(I3&lt;G3,(I3-G3)*30,IF(I3&gt;G3,(I3-G3)*75,0))+IF(J3&lt;H3,(J3-H3)*50,IF(J3&gt;H3,(J3-H3)*75,0))+M3*20*AE3^2+O3*3*AF3^2+Q3*2*AG3^2+S3*1*AH3^2</f>
        <v>1350</v>
      </c>
      <c r="L3">
        <f>MIN(B3+M2,$AC$6*J3)</f>
        <v>22</v>
      </c>
      <c r="M3">
        <f>B3+M2-L3</f>
        <v>0</v>
      </c>
      <c r="N3">
        <f>MIN(C3+O2,$AC$4*I3)</f>
        <v>60</v>
      </c>
      <c r="O3">
        <f>C3+O2-N3</f>
        <v>0</v>
      </c>
      <c r="P3">
        <f>MIN(D3+Q2,$AC$4*I3-N3)</f>
        <v>25</v>
      </c>
      <c r="Q3">
        <f>D3+Q2-P3</f>
        <v>0</v>
      </c>
      <c r="R3">
        <f>MIN(E3+S2,$AC$4*I3-N3-P3)</f>
        <v>17</v>
      </c>
      <c r="S3">
        <f>E3+S2-R3</f>
        <v>0</v>
      </c>
      <c r="U3" s="2" t="s">
        <v>4</v>
      </c>
      <c r="V3" s="2" t="s">
        <v>6</v>
      </c>
      <c r="W3" s="2" t="s">
        <v>7</v>
      </c>
      <c r="X3" s="2" t="s">
        <v>21</v>
      </c>
      <c r="Y3" s="2" t="s">
        <v>20</v>
      </c>
      <c r="Z3" s="2" t="s">
        <v>19</v>
      </c>
      <c r="AA3" s="2" t="s">
        <v>18</v>
      </c>
      <c r="AC3" t="s">
        <v>8</v>
      </c>
      <c r="AE3">
        <f>IF(M3&gt;0,AE2+1,0)</f>
        <v>0</v>
      </c>
      <c r="AF3">
        <f>IF(O3&gt;0,AF2+1,0)</f>
        <v>0</v>
      </c>
      <c r="AG3">
        <f>IF(Q3&gt;0,AG2+1,0)</f>
        <v>0</v>
      </c>
      <c r="AH3">
        <f>IF(S3&gt;0,AH2+1,0)</f>
        <v>0</v>
      </c>
    </row>
    <row r="4" spans="1:34" ht="16" thickBot="1" x14ac:dyDescent="0.25">
      <c r="A4" s="5">
        <f t="shared" ref="A4:A52" si="1">A3+1</f>
        <v>3</v>
      </c>
      <c r="B4" s="11">
        <v>28</v>
      </c>
      <c r="C4" s="20">
        <v>53</v>
      </c>
      <c r="D4" s="11">
        <v>15</v>
      </c>
      <c r="E4" s="11">
        <v>8</v>
      </c>
      <c r="F4" s="20">
        <v>30</v>
      </c>
      <c r="G4" s="23">
        <f t="shared" ref="G4:G53" si="2">F4-ROUND(F4/2,0)</f>
        <v>15</v>
      </c>
      <c r="H4" s="24">
        <f t="shared" ref="H4:H53" si="3">ROUND(F4/2,0)</f>
        <v>15</v>
      </c>
      <c r="I4" s="9">
        <f t="shared" ref="I4:I53" si="4">G4</f>
        <v>15</v>
      </c>
      <c r="J4" s="10">
        <f t="shared" ref="J4:J53" si="5">H4</f>
        <v>15</v>
      </c>
      <c r="K4" s="25">
        <f t="shared" si="0"/>
        <v>2250</v>
      </c>
      <c r="L4">
        <f t="shared" ref="L4:L53" si="6">MIN(B4+M3,$AC$6*J4)</f>
        <v>28</v>
      </c>
      <c r="M4">
        <f t="shared" ref="M4:M53" si="7">B4+M3-L4</f>
        <v>0</v>
      </c>
      <c r="N4">
        <f t="shared" ref="N4:N53" si="8">MIN(C4+O3,$AC$4*I4)</f>
        <v>53</v>
      </c>
      <c r="O4">
        <f t="shared" ref="O4:O53" si="9">C4+O3-N4</f>
        <v>0</v>
      </c>
      <c r="P4">
        <f t="shared" ref="P4:P53" si="10">MIN(D4+Q3,$AC$4*I4-N4)</f>
        <v>15</v>
      </c>
      <c r="Q4">
        <f t="shared" ref="Q4:Q53" si="11">D4+Q3-P4</f>
        <v>0</v>
      </c>
      <c r="R4">
        <f t="shared" ref="R4:R53" si="12">MIN(E4+S3,$AC$4*I4-N4-P4)</f>
        <v>8</v>
      </c>
      <c r="S4">
        <f t="shared" ref="S4:S53" si="13">E4+S3-R4</f>
        <v>0</v>
      </c>
      <c r="U4" s="14">
        <v>1</v>
      </c>
      <c r="V4" s="13">
        <v>0.05</v>
      </c>
      <c r="W4" s="13">
        <v>0</v>
      </c>
      <c r="X4" s="13">
        <v>0.1</v>
      </c>
      <c r="Y4" s="13">
        <v>0</v>
      </c>
      <c r="Z4" s="13">
        <v>0</v>
      </c>
      <c r="AA4" s="13">
        <v>0</v>
      </c>
      <c r="AC4" s="12">
        <v>16</v>
      </c>
      <c r="AE4">
        <f t="shared" ref="AE4:AE53" si="14">IF(M4&gt;0,AE3+1,0)</f>
        <v>0</v>
      </c>
      <c r="AF4">
        <f t="shared" ref="AF4:AF53" si="15">IF(O4&gt;0,AF3+1,0)</f>
        <v>0</v>
      </c>
      <c r="AG4">
        <f t="shared" ref="AG4:AG53" si="16">IF(Q4&gt;0,AG3+1,0)</f>
        <v>0</v>
      </c>
      <c r="AH4">
        <f t="shared" ref="AH4:AH53" si="17">IF(S4&gt;0,AH3+1,0)</f>
        <v>0</v>
      </c>
    </row>
    <row r="5" spans="1:34" ht="16" thickBot="1" x14ac:dyDescent="0.25">
      <c r="A5" s="5">
        <f t="shared" si="1"/>
        <v>4</v>
      </c>
      <c r="B5" s="11">
        <v>24</v>
      </c>
      <c r="C5" s="20">
        <v>44</v>
      </c>
      <c r="D5" s="11">
        <v>10</v>
      </c>
      <c r="E5" s="11">
        <v>14</v>
      </c>
      <c r="F5" s="20">
        <v>30</v>
      </c>
      <c r="G5" s="23">
        <f t="shared" si="2"/>
        <v>15</v>
      </c>
      <c r="H5" s="24">
        <f t="shared" si="3"/>
        <v>15</v>
      </c>
      <c r="I5" s="9">
        <f t="shared" si="4"/>
        <v>15</v>
      </c>
      <c r="J5" s="10">
        <f t="shared" si="5"/>
        <v>15</v>
      </c>
      <c r="K5" s="25">
        <f t="shared" si="0"/>
        <v>2250</v>
      </c>
      <c r="L5">
        <f t="shared" si="6"/>
        <v>24</v>
      </c>
      <c r="M5">
        <f t="shared" si="7"/>
        <v>0</v>
      </c>
      <c r="N5">
        <f t="shared" si="8"/>
        <v>44</v>
      </c>
      <c r="O5">
        <f t="shared" si="9"/>
        <v>0</v>
      </c>
      <c r="P5">
        <f t="shared" si="10"/>
        <v>10</v>
      </c>
      <c r="Q5">
        <f t="shared" si="11"/>
        <v>0</v>
      </c>
      <c r="R5">
        <f t="shared" si="12"/>
        <v>14</v>
      </c>
      <c r="S5">
        <f t="shared" si="13"/>
        <v>0</v>
      </c>
      <c r="U5" s="14">
        <v>2</v>
      </c>
      <c r="V5" s="13">
        <v>0.1</v>
      </c>
      <c r="W5" s="13">
        <v>0.1</v>
      </c>
      <c r="X5" s="13">
        <v>0.2</v>
      </c>
      <c r="Y5" s="13">
        <v>0.1</v>
      </c>
      <c r="Z5" s="13">
        <v>0</v>
      </c>
      <c r="AA5" s="13">
        <v>0</v>
      </c>
      <c r="AC5" t="s">
        <v>9</v>
      </c>
      <c r="AE5">
        <f t="shared" si="14"/>
        <v>0</v>
      </c>
      <c r="AF5">
        <f t="shared" si="15"/>
        <v>0</v>
      </c>
      <c r="AG5">
        <f t="shared" si="16"/>
        <v>0</v>
      </c>
      <c r="AH5">
        <f t="shared" si="17"/>
        <v>0</v>
      </c>
    </row>
    <row r="6" spans="1:34" ht="16" thickBot="1" x14ac:dyDescent="0.25">
      <c r="A6" s="5">
        <f t="shared" si="1"/>
        <v>5</v>
      </c>
      <c r="B6" s="11">
        <v>28</v>
      </c>
      <c r="C6" s="20">
        <v>59</v>
      </c>
      <c r="D6" s="11">
        <v>9</v>
      </c>
      <c r="E6" s="11">
        <v>9</v>
      </c>
      <c r="F6" s="20">
        <v>24</v>
      </c>
      <c r="G6" s="23">
        <f t="shared" si="2"/>
        <v>12</v>
      </c>
      <c r="H6" s="24">
        <f t="shared" si="3"/>
        <v>12</v>
      </c>
      <c r="I6" s="9">
        <f t="shared" si="4"/>
        <v>12</v>
      </c>
      <c r="J6" s="10">
        <f t="shared" si="5"/>
        <v>12</v>
      </c>
      <c r="K6" s="25">
        <f t="shared" si="0"/>
        <v>1800</v>
      </c>
      <c r="L6">
        <f t="shared" si="6"/>
        <v>28</v>
      </c>
      <c r="M6">
        <f t="shared" si="7"/>
        <v>0</v>
      </c>
      <c r="N6">
        <f t="shared" si="8"/>
        <v>59</v>
      </c>
      <c r="O6">
        <f t="shared" si="9"/>
        <v>0</v>
      </c>
      <c r="P6">
        <f t="shared" si="10"/>
        <v>9</v>
      </c>
      <c r="Q6">
        <f t="shared" si="11"/>
        <v>0</v>
      </c>
      <c r="R6">
        <f t="shared" si="12"/>
        <v>9</v>
      </c>
      <c r="S6">
        <f t="shared" si="13"/>
        <v>0</v>
      </c>
      <c r="U6" s="14">
        <v>3</v>
      </c>
      <c r="V6" s="13">
        <v>0</v>
      </c>
      <c r="W6" s="13">
        <v>0</v>
      </c>
      <c r="X6" s="13">
        <v>0</v>
      </c>
      <c r="Y6" s="13">
        <v>0</v>
      </c>
      <c r="Z6" s="13">
        <v>0</v>
      </c>
      <c r="AA6" s="13">
        <v>0</v>
      </c>
      <c r="AC6" s="12">
        <v>3</v>
      </c>
      <c r="AE6">
        <f t="shared" si="14"/>
        <v>0</v>
      </c>
      <c r="AF6">
        <f t="shared" si="15"/>
        <v>0</v>
      </c>
      <c r="AG6">
        <f t="shared" si="16"/>
        <v>0</v>
      </c>
      <c r="AH6">
        <f t="shared" si="17"/>
        <v>0</v>
      </c>
    </row>
    <row r="7" spans="1:34" ht="16" thickBot="1" x14ac:dyDescent="0.25">
      <c r="A7" s="5">
        <f t="shared" si="1"/>
        <v>6</v>
      </c>
      <c r="B7" s="11">
        <v>16</v>
      </c>
      <c r="C7" s="20">
        <v>39</v>
      </c>
      <c r="D7" s="11">
        <v>7</v>
      </c>
      <c r="E7" s="11">
        <v>7</v>
      </c>
      <c r="F7" s="20">
        <v>18</v>
      </c>
      <c r="G7" s="23">
        <f t="shared" si="2"/>
        <v>9</v>
      </c>
      <c r="H7" s="24">
        <f t="shared" si="3"/>
        <v>9</v>
      </c>
      <c r="I7" s="9">
        <f t="shared" si="4"/>
        <v>9</v>
      </c>
      <c r="J7" s="10">
        <f t="shared" si="5"/>
        <v>9</v>
      </c>
      <c r="K7" s="25">
        <f t="shared" si="0"/>
        <v>1350</v>
      </c>
      <c r="L7">
        <f t="shared" si="6"/>
        <v>16</v>
      </c>
      <c r="M7">
        <f t="shared" si="7"/>
        <v>0</v>
      </c>
      <c r="N7">
        <f t="shared" si="8"/>
        <v>39</v>
      </c>
      <c r="O7">
        <f t="shared" si="9"/>
        <v>0</v>
      </c>
      <c r="P7">
        <f t="shared" si="10"/>
        <v>7</v>
      </c>
      <c r="Q7">
        <f t="shared" si="11"/>
        <v>0</v>
      </c>
      <c r="R7">
        <f t="shared" si="12"/>
        <v>7</v>
      </c>
      <c r="S7">
        <f t="shared" si="13"/>
        <v>0</v>
      </c>
      <c r="U7" s="14">
        <v>4</v>
      </c>
      <c r="V7" s="13">
        <v>0.1</v>
      </c>
      <c r="W7" s="13">
        <v>0.1</v>
      </c>
      <c r="X7" s="13">
        <v>0.4</v>
      </c>
      <c r="Y7" s="13">
        <v>0.05</v>
      </c>
      <c r="Z7" s="13">
        <v>0.25</v>
      </c>
      <c r="AA7" s="13">
        <v>0</v>
      </c>
      <c r="AE7">
        <f t="shared" si="14"/>
        <v>0</v>
      </c>
      <c r="AF7">
        <f t="shared" si="15"/>
        <v>0</v>
      </c>
      <c r="AG7">
        <f t="shared" si="16"/>
        <v>0</v>
      </c>
      <c r="AH7">
        <f t="shared" si="17"/>
        <v>0</v>
      </c>
    </row>
    <row r="8" spans="1:34" ht="16" thickBot="1" x14ac:dyDescent="0.25">
      <c r="A8" s="5">
        <f t="shared" si="1"/>
        <v>7</v>
      </c>
      <c r="B8" s="11">
        <v>20</v>
      </c>
      <c r="C8" s="20">
        <v>54</v>
      </c>
      <c r="D8" s="11">
        <v>10</v>
      </c>
      <c r="E8" s="11">
        <v>7</v>
      </c>
      <c r="F8" s="20">
        <v>12</v>
      </c>
      <c r="G8" s="23">
        <f t="shared" si="2"/>
        <v>6</v>
      </c>
      <c r="H8" s="24">
        <f t="shared" si="3"/>
        <v>6</v>
      </c>
      <c r="I8" s="9">
        <f t="shared" si="4"/>
        <v>6</v>
      </c>
      <c r="J8" s="10">
        <f t="shared" si="5"/>
        <v>6</v>
      </c>
      <c r="K8" s="25">
        <f t="shared" si="0"/>
        <v>940</v>
      </c>
      <c r="L8">
        <f t="shared" si="6"/>
        <v>18</v>
      </c>
      <c r="M8">
        <f t="shared" si="7"/>
        <v>2</v>
      </c>
      <c r="N8">
        <f t="shared" si="8"/>
        <v>54</v>
      </c>
      <c r="O8">
        <f t="shared" si="9"/>
        <v>0</v>
      </c>
      <c r="P8">
        <f t="shared" si="10"/>
        <v>10</v>
      </c>
      <c r="Q8">
        <f t="shared" si="11"/>
        <v>0</v>
      </c>
      <c r="R8">
        <f t="shared" si="12"/>
        <v>7</v>
      </c>
      <c r="S8">
        <f t="shared" si="13"/>
        <v>0</v>
      </c>
      <c r="U8" s="14">
        <v>5</v>
      </c>
      <c r="V8" s="13">
        <v>0</v>
      </c>
      <c r="W8" s="13">
        <v>0</v>
      </c>
      <c r="X8" s="13">
        <v>0</v>
      </c>
      <c r="Y8" s="13">
        <v>0</v>
      </c>
      <c r="Z8" s="13">
        <v>0</v>
      </c>
      <c r="AA8" s="13">
        <v>0</v>
      </c>
      <c r="AE8">
        <f t="shared" si="14"/>
        <v>1</v>
      </c>
      <c r="AF8">
        <f t="shared" si="15"/>
        <v>0</v>
      </c>
      <c r="AG8">
        <f t="shared" si="16"/>
        <v>0</v>
      </c>
      <c r="AH8">
        <f t="shared" si="17"/>
        <v>0</v>
      </c>
    </row>
    <row r="9" spans="1:34" ht="16" thickBot="1" x14ac:dyDescent="0.25">
      <c r="A9" s="5">
        <f t="shared" si="1"/>
        <v>8</v>
      </c>
      <c r="B9" s="11">
        <v>13</v>
      </c>
      <c r="C9" s="20">
        <v>44</v>
      </c>
      <c r="D9" s="11">
        <v>4</v>
      </c>
      <c r="E9" s="11">
        <v>2</v>
      </c>
      <c r="F9" s="20">
        <v>18</v>
      </c>
      <c r="G9" s="23">
        <f t="shared" si="2"/>
        <v>9</v>
      </c>
      <c r="H9" s="24">
        <f t="shared" si="3"/>
        <v>9</v>
      </c>
      <c r="I9" s="9">
        <f t="shared" si="4"/>
        <v>9</v>
      </c>
      <c r="J9" s="10">
        <f t="shared" si="5"/>
        <v>9</v>
      </c>
      <c r="K9" s="25">
        <f t="shared" si="0"/>
        <v>1350</v>
      </c>
      <c r="L9">
        <f t="shared" si="6"/>
        <v>15</v>
      </c>
      <c r="M9">
        <f t="shared" si="7"/>
        <v>0</v>
      </c>
      <c r="N9">
        <f t="shared" si="8"/>
        <v>44</v>
      </c>
      <c r="O9">
        <f t="shared" si="9"/>
        <v>0</v>
      </c>
      <c r="P9">
        <f t="shared" si="10"/>
        <v>4</v>
      </c>
      <c r="Q9">
        <f t="shared" si="11"/>
        <v>0</v>
      </c>
      <c r="R9">
        <f t="shared" si="12"/>
        <v>2</v>
      </c>
      <c r="S9">
        <f t="shared" si="13"/>
        <v>0</v>
      </c>
      <c r="U9" s="14">
        <v>6</v>
      </c>
      <c r="V9" s="13">
        <v>0.05</v>
      </c>
      <c r="W9" s="13">
        <v>0.05</v>
      </c>
      <c r="X9" s="13">
        <v>0.2</v>
      </c>
      <c r="Y9" s="13">
        <v>0</v>
      </c>
      <c r="Z9" s="13">
        <v>0.2</v>
      </c>
      <c r="AA9" s="13">
        <v>0.1</v>
      </c>
      <c r="AC9" s="1"/>
      <c r="AE9">
        <f t="shared" si="14"/>
        <v>0</v>
      </c>
      <c r="AF9">
        <f t="shared" si="15"/>
        <v>0</v>
      </c>
      <c r="AG9">
        <f t="shared" si="16"/>
        <v>0</v>
      </c>
      <c r="AH9">
        <f t="shared" si="17"/>
        <v>0</v>
      </c>
    </row>
    <row r="10" spans="1:34" ht="16" thickBot="1" x14ac:dyDescent="0.25">
      <c r="A10" s="5">
        <f t="shared" si="1"/>
        <v>9</v>
      </c>
      <c r="B10" s="11">
        <v>8</v>
      </c>
      <c r="C10" s="20">
        <v>39</v>
      </c>
      <c r="D10" s="4">
        <f>SUMPRODUCT(N2:N9,$W$4:$W$11)+SUMPRODUCT(L2:L9,$X$4:$X$11)</f>
        <v>42.150000000000006</v>
      </c>
      <c r="E10" s="4">
        <f>SUMPRODUCT(P2:P9,$Z$4:$Z$11)+SUMPRODUCT(R2:R9,$AA$4:$AA$11)</f>
        <v>5.4</v>
      </c>
      <c r="F10" s="20">
        <v>18</v>
      </c>
      <c r="G10" s="23">
        <f t="shared" si="2"/>
        <v>9</v>
      </c>
      <c r="H10" s="24">
        <f t="shared" si="3"/>
        <v>9</v>
      </c>
      <c r="I10" s="9">
        <f t="shared" si="4"/>
        <v>9</v>
      </c>
      <c r="J10" s="10">
        <f t="shared" si="5"/>
        <v>9</v>
      </c>
      <c r="K10" s="25">
        <f t="shared" si="0"/>
        <v>1350</v>
      </c>
      <c r="L10">
        <f t="shared" si="6"/>
        <v>8</v>
      </c>
      <c r="M10">
        <f t="shared" si="7"/>
        <v>0</v>
      </c>
      <c r="N10">
        <f t="shared" si="8"/>
        <v>39</v>
      </c>
      <c r="O10">
        <f t="shared" si="9"/>
        <v>0</v>
      </c>
      <c r="P10">
        <f t="shared" si="10"/>
        <v>42.150000000000006</v>
      </c>
      <c r="Q10">
        <f t="shared" si="11"/>
        <v>0</v>
      </c>
      <c r="R10">
        <f t="shared" si="12"/>
        <v>5.4</v>
      </c>
      <c r="S10">
        <f t="shared" si="13"/>
        <v>0</v>
      </c>
      <c r="U10" s="14">
        <v>7</v>
      </c>
      <c r="V10" s="13">
        <v>0</v>
      </c>
      <c r="W10" s="13">
        <v>0</v>
      </c>
      <c r="X10" s="13">
        <v>0</v>
      </c>
      <c r="Y10" s="13">
        <v>0</v>
      </c>
      <c r="Z10" s="13">
        <v>0</v>
      </c>
      <c r="AA10" s="13">
        <v>0</v>
      </c>
      <c r="AC10" s="1"/>
      <c r="AE10">
        <f t="shared" si="14"/>
        <v>0</v>
      </c>
      <c r="AF10">
        <f t="shared" si="15"/>
        <v>0</v>
      </c>
      <c r="AG10">
        <f t="shared" si="16"/>
        <v>0</v>
      </c>
      <c r="AH10">
        <f t="shared" si="17"/>
        <v>0</v>
      </c>
    </row>
    <row r="11" spans="1:34" ht="16" thickBot="1" x14ac:dyDescent="0.25">
      <c r="A11" s="5">
        <f t="shared" si="1"/>
        <v>10</v>
      </c>
      <c r="B11" s="11">
        <v>18</v>
      </c>
      <c r="C11" s="20">
        <v>38</v>
      </c>
      <c r="D11" s="4">
        <f t="shared" ref="D11:D53" si="18">SUMPRODUCT(N3:N10,$W$4:$W$11)+SUMPRODUCT(L3:L10,$X$4:$X$11)</f>
        <v>45.100000000000009</v>
      </c>
      <c r="E11" s="4">
        <f t="shared" ref="E11:E53" si="19">SUMPRODUCT(P3:P10,$Z$4:$Z$11)+SUMPRODUCT(R3:R10,$AA$4:$AA$11)</f>
        <v>10.245000000000001</v>
      </c>
      <c r="F11" s="20">
        <v>24</v>
      </c>
      <c r="G11" s="23">
        <f t="shared" si="2"/>
        <v>12</v>
      </c>
      <c r="H11" s="24">
        <f t="shared" si="3"/>
        <v>12</v>
      </c>
      <c r="I11" s="9">
        <f t="shared" si="4"/>
        <v>12</v>
      </c>
      <c r="J11" s="10">
        <f t="shared" si="5"/>
        <v>12</v>
      </c>
      <c r="K11" s="25">
        <f t="shared" si="0"/>
        <v>1800</v>
      </c>
      <c r="L11">
        <f t="shared" si="6"/>
        <v>18</v>
      </c>
      <c r="M11">
        <f t="shared" si="7"/>
        <v>0</v>
      </c>
      <c r="N11">
        <f t="shared" si="8"/>
        <v>38</v>
      </c>
      <c r="O11">
        <f t="shared" si="9"/>
        <v>0</v>
      </c>
      <c r="P11">
        <f t="shared" si="10"/>
        <v>45.100000000000009</v>
      </c>
      <c r="Q11">
        <f t="shared" si="11"/>
        <v>0</v>
      </c>
      <c r="R11">
        <f t="shared" si="12"/>
        <v>10.245000000000001</v>
      </c>
      <c r="S11">
        <f t="shared" si="13"/>
        <v>0</v>
      </c>
      <c r="U11" s="14">
        <v>8</v>
      </c>
      <c r="V11" s="13">
        <v>0</v>
      </c>
      <c r="W11" s="13">
        <v>0.2</v>
      </c>
      <c r="X11" s="13">
        <v>0.1</v>
      </c>
      <c r="Y11" s="13">
        <v>0</v>
      </c>
      <c r="Z11" s="13">
        <v>0.1</v>
      </c>
      <c r="AA11" s="13">
        <v>0.2</v>
      </c>
      <c r="AC11" s="1"/>
      <c r="AD11" t="s">
        <v>28</v>
      </c>
      <c r="AE11">
        <f t="shared" si="14"/>
        <v>0</v>
      </c>
      <c r="AF11">
        <f t="shared" si="15"/>
        <v>0</v>
      </c>
      <c r="AG11">
        <f t="shared" si="16"/>
        <v>0</v>
      </c>
      <c r="AH11">
        <f t="shared" si="17"/>
        <v>0</v>
      </c>
    </row>
    <row r="12" spans="1:34" ht="16" thickBot="1" x14ac:dyDescent="0.25">
      <c r="A12" s="5">
        <f t="shared" si="1"/>
        <v>11</v>
      </c>
      <c r="B12" s="11">
        <v>8</v>
      </c>
      <c r="C12" s="20">
        <v>43</v>
      </c>
      <c r="D12" s="4">
        <f t="shared" si="18"/>
        <v>36.900000000000006</v>
      </c>
      <c r="E12" s="4">
        <f t="shared" si="19"/>
        <v>9.3090000000000011</v>
      </c>
      <c r="F12" s="20">
        <v>30</v>
      </c>
      <c r="G12" s="23">
        <f t="shared" si="2"/>
        <v>15</v>
      </c>
      <c r="H12" s="24">
        <f t="shared" si="3"/>
        <v>15</v>
      </c>
      <c r="I12" s="9">
        <f t="shared" si="4"/>
        <v>15</v>
      </c>
      <c r="J12" s="10">
        <f t="shared" si="5"/>
        <v>15</v>
      </c>
      <c r="K12" s="25">
        <f t="shared" si="0"/>
        <v>2250</v>
      </c>
      <c r="L12">
        <f t="shared" si="6"/>
        <v>8</v>
      </c>
      <c r="M12">
        <f t="shared" si="7"/>
        <v>0</v>
      </c>
      <c r="N12">
        <f t="shared" si="8"/>
        <v>43</v>
      </c>
      <c r="O12">
        <f t="shared" si="9"/>
        <v>0</v>
      </c>
      <c r="P12">
        <f t="shared" si="10"/>
        <v>36.900000000000006</v>
      </c>
      <c r="Q12">
        <f t="shared" si="11"/>
        <v>0</v>
      </c>
      <c r="R12">
        <f t="shared" si="12"/>
        <v>9.3090000000000011</v>
      </c>
      <c r="S12">
        <f t="shared" si="13"/>
        <v>0</v>
      </c>
      <c r="V12" s="13"/>
      <c r="W12" s="13"/>
      <c r="X12" s="13"/>
      <c r="Y12" s="13"/>
      <c r="Z12" s="13"/>
      <c r="AA12" s="13"/>
      <c r="AE12">
        <f t="shared" si="14"/>
        <v>0</v>
      </c>
      <c r="AF12">
        <f t="shared" si="15"/>
        <v>0</v>
      </c>
      <c r="AG12">
        <f t="shared" si="16"/>
        <v>0</v>
      </c>
      <c r="AH12">
        <f t="shared" si="17"/>
        <v>0</v>
      </c>
    </row>
    <row r="13" spans="1:34" ht="16" thickBot="1" x14ac:dyDescent="0.25">
      <c r="A13" s="5">
        <f t="shared" si="1"/>
        <v>12</v>
      </c>
      <c r="B13" s="11">
        <v>14</v>
      </c>
      <c r="C13" s="20">
        <v>53</v>
      </c>
      <c r="D13" s="4">
        <f t="shared" si="18"/>
        <v>39.450000000000003</v>
      </c>
      <c r="E13" s="4">
        <f t="shared" si="19"/>
        <v>17.021800000000002</v>
      </c>
      <c r="F13" s="20">
        <v>30</v>
      </c>
      <c r="G13" s="23">
        <f t="shared" si="2"/>
        <v>15</v>
      </c>
      <c r="H13" s="24">
        <f t="shared" si="3"/>
        <v>15</v>
      </c>
      <c r="I13" s="9">
        <f t="shared" si="4"/>
        <v>15</v>
      </c>
      <c r="J13" s="10">
        <f t="shared" si="5"/>
        <v>15</v>
      </c>
      <c r="K13" s="25">
        <f t="shared" si="0"/>
        <v>2250</v>
      </c>
      <c r="L13">
        <f t="shared" si="6"/>
        <v>14</v>
      </c>
      <c r="M13">
        <f t="shared" si="7"/>
        <v>0</v>
      </c>
      <c r="N13">
        <f t="shared" si="8"/>
        <v>53</v>
      </c>
      <c r="O13">
        <f t="shared" si="9"/>
        <v>0</v>
      </c>
      <c r="P13">
        <f t="shared" si="10"/>
        <v>39.450000000000003</v>
      </c>
      <c r="Q13">
        <f t="shared" si="11"/>
        <v>0</v>
      </c>
      <c r="R13">
        <f t="shared" si="12"/>
        <v>17.021800000000002</v>
      </c>
      <c r="S13">
        <f t="shared" si="13"/>
        <v>0</v>
      </c>
      <c r="V13" s="17">
        <f t="shared" ref="V13:AA13" si="20">SUM(V4:V11)</f>
        <v>0.3</v>
      </c>
      <c r="W13" s="17">
        <f t="shared" si="20"/>
        <v>0.45</v>
      </c>
      <c r="X13" s="17">
        <f t="shared" si="20"/>
        <v>1.0000000000000002</v>
      </c>
      <c r="Y13" s="17">
        <f t="shared" si="20"/>
        <v>0.15000000000000002</v>
      </c>
      <c r="Z13" s="17">
        <f t="shared" si="20"/>
        <v>0.55000000000000004</v>
      </c>
      <c r="AA13" s="17">
        <f t="shared" si="20"/>
        <v>0.30000000000000004</v>
      </c>
      <c r="AE13">
        <f t="shared" si="14"/>
        <v>0</v>
      </c>
      <c r="AF13">
        <f t="shared" si="15"/>
        <v>0</v>
      </c>
      <c r="AG13">
        <f t="shared" si="16"/>
        <v>0</v>
      </c>
      <c r="AH13">
        <f t="shared" si="17"/>
        <v>0</v>
      </c>
    </row>
    <row r="14" spans="1:34" ht="16" thickBot="1" x14ac:dyDescent="0.25">
      <c r="A14" s="5">
        <f t="shared" si="1"/>
        <v>13</v>
      </c>
      <c r="B14" s="11">
        <v>15</v>
      </c>
      <c r="C14" s="20">
        <v>33</v>
      </c>
      <c r="D14" s="4">
        <f t="shared" si="18"/>
        <v>37.800000000000004</v>
      </c>
      <c r="E14" s="4">
        <f t="shared" si="19"/>
        <v>18.393860000000004</v>
      </c>
      <c r="F14" s="20">
        <v>24</v>
      </c>
      <c r="G14" s="23">
        <f t="shared" si="2"/>
        <v>12</v>
      </c>
      <c r="H14" s="24">
        <f t="shared" si="3"/>
        <v>12</v>
      </c>
      <c r="I14" s="9">
        <f t="shared" si="4"/>
        <v>12</v>
      </c>
      <c r="J14" s="10">
        <f t="shared" si="5"/>
        <v>12</v>
      </c>
      <c r="K14" s="25">
        <f t="shared" si="0"/>
        <v>1800</v>
      </c>
      <c r="L14">
        <f t="shared" si="6"/>
        <v>15</v>
      </c>
      <c r="M14">
        <f t="shared" si="7"/>
        <v>0</v>
      </c>
      <c r="N14">
        <f t="shared" si="8"/>
        <v>33</v>
      </c>
      <c r="O14">
        <f t="shared" si="9"/>
        <v>0</v>
      </c>
      <c r="P14">
        <f t="shared" si="10"/>
        <v>37.800000000000004</v>
      </c>
      <c r="Q14">
        <f t="shared" si="11"/>
        <v>0</v>
      </c>
      <c r="R14">
        <f t="shared" si="12"/>
        <v>18.393860000000004</v>
      </c>
      <c r="S14">
        <f t="shared" si="13"/>
        <v>0</v>
      </c>
      <c r="AE14">
        <f t="shared" si="14"/>
        <v>0</v>
      </c>
      <c r="AF14">
        <f t="shared" si="15"/>
        <v>0</v>
      </c>
      <c r="AG14">
        <f t="shared" si="16"/>
        <v>0</v>
      </c>
      <c r="AH14">
        <f t="shared" si="17"/>
        <v>0</v>
      </c>
    </row>
    <row r="15" spans="1:34" ht="16" thickBot="1" x14ac:dyDescent="0.25">
      <c r="A15" s="5">
        <f t="shared" si="1"/>
        <v>14</v>
      </c>
      <c r="B15" s="11">
        <v>10</v>
      </c>
      <c r="C15" s="20">
        <v>40</v>
      </c>
      <c r="D15" s="4">
        <f t="shared" si="18"/>
        <v>29.55</v>
      </c>
      <c r="E15" s="4">
        <f t="shared" si="19"/>
        <v>26.307172000000005</v>
      </c>
      <c r="F15" s="20">
        <v>30</v>
      </c>
      <c r="G15" s="23">
        <f t="shared" si="2"/>
        <v>15</v>
      </c>
      <c r="H15" s="24">
        <f t="shared" si="3"/>
        <v>15</v>
      </c>
      <c r="I15" s="9">
        <f t="shared" si="4"/>
        <v>15</v>
      </c>
      <c r="J15" s="10">
        <f t="shared" si="5"/>
        <v>15</v>
      </c>
      <c r="K15" s="25">
        <f t="shared" si="0"/>
        <v>2250</v>
      </c>
      <c r="L15">
        <f t="shared" si="6"/>
        <v>10</v>
      </c>
      <c r="M15">
        <f t="shared" si="7"/>
        <v>0</v>
      </c>
      <c r="N15">
        <f t="shared" si="8"/>
        <v>40</v>
      </c>
      <c r="O15">
        <f t="shared" si="9"/>
        <v>0</v>
      </c>
      <c r="P15">
        <f t="shared" si="10"/>
        <v>29.55</v>
      </c>
      <c r="Q15">
        <f t="shared" si="11"/>
        <v>0</v>
      </c>
      <c r="R15">
        <f t="shared" si="12"/>
        <v>26.307172000000005</v>
      </c>
      <c r="S15">
        <f t="shared" si="13"/>
        <v>0</v>
      </c>
      <c r="AE15">
        <f t="shared" si="14"/>
        <v>0</v>
      </c>
      <c r="AF15">
        <f t="shared" si="15"/>
        <v>0</v>
      </c>
      <c r="AG15">
        <f t="shared" si="16"/>
        <v>0</v>
      </c>
      <c r="AH15">
        <f t="shared" si="17"/>
        <v>0</v>
      </c>
    </row>
    <row r="16" spans="1:34" ht="16" thickBot="1" x14ac:dyDescent="0.25">
      <c r="A16" s="5">
        <f t="shared" si="1"/>
        <v>15</v>
      </c>
      <c r="B16" s="11">
        <v>17</v>
      </c>
      <c r="C16" s="20">
        <v>49</v>
      </c>
      <c r="D16" s="4">
        <f t="shared" si="18"/>
        <v>34.650000000000006</v>
      </c>
      <c r="E16" s="4">
        <f t="shared" si="19"/>
        <v>29.083614400000005</v>
      </c>
      <c r="F16" s="20">
        <v>30</v>
      </c>
      <c r="G16" s="23">
        <f t="shared" si="2"/>
        <v>15</v>
      </c>
      <c r="H16" s="24">
        <f t="shared" si="3"/>
        <v>15</v>
      </c>
      <c r="I16" s="9">
        <f t="shared" si="4"/>
        <v>15</v>
      </c>
      <c r="J16" s="10">
        <f t="shared" si="5"/>
        <v>15</v>
      </c>
      <c r="K16" s="25">
        <f t="shared" si="0"/>
        <v>2250</v>
      </c>
      <c r="L16">
        <f t="shared" si="6"/>
        <v>17</v>
      </c>
      <c r="M16">
        <f t="shared" si="7"/>
        <v>0</v>
      </c>
      <c r="N16">
        <f t="shared" si="8"/>
        <v>49</v>
      </c>
      <c r="O16">
        <f t="shared" si="9"/>
        <v>0</v>
      </c>
      <c r="P16">
        <f t="shared" si="10"/>
        <v>34.650000000000006</v>
      </c>
      <c r="Q16">
        <f t="shared" si="11"/>
        <v>0</v>
      </c>
      <c r="R16">
        <f t="shared" si="12"/>
        <v>29.083614400000005</v>
      </c>
      <c r="S16">
        <f t="shared" si="13"/>
        <v>0</v>
      </c>
      <c r="AE16">
        <f t="shared" si="14"/>
        <v>0</v>
      </c>
      <c r="AF16">
        <f t="shared" si="15"/>
        <v>0</v>
      </c>
      <c r="AG16">
        <f t="shared" si="16"/>
        <v>0</v>
      </c>
      <c r="AH16">
        <f t="shared" si="17"/>
        <v>0</v>
      </c>
    </row>
    <row r="17" spans="1:34" ht="16" thickBot="1" x14ac:dyDescent="0.25">
      <c r="A17" s="5">
        <f t="shared" si="1"/>
        <v>16</v>
      </c>
      <c r="B17" s="11">
        <v>21</v>
      </c>
      <c r="C17" s="20">
        <v>36</v>
      </c>
      <c r="D17" s="4">
        <f t="shared" si="18"/>
        <v>30.65</v>
      </c>
      <c r="E17" s="4">
        <f t="shared" si="19"/>
        <v>27.906108880000005</v>
      </c>
      <c r="F17" s="20">
        <v>24</v>
      </c>
      <c r="G17" s="23">
        <f t="shared" si="2"/>
        <v>12</v>
      </c>
      <c r="H17" s="24">
        <f t="shared" si="3"/>
        <v>12</v>
      </c>
      <c r="I17" s="9">
        <f t="shared" si="4"/>
        <v>12</v>
      </c>
      <c r="J17" s="10">
        <f t="shared" si="5"/>
        <v>12</v>
      </c>
      <c r="K17" s="25">
        <f t="shared" si="0"/>
        <v>1800</v>
      </c>
      <c r="L17">
        <f t="shared" si="6"/>
        <v>21</v>
      </c>
      <c r="M17">
        <f t="shared" si="7"/>
        <v>0</v>
      </c>
      <c r="N17">
        <f t="shared" si="8"/>
        <v>36</v>
      </c>
      <c r="O17">
        <f t="shared" si="9"/>
        <v>0</v>
      </c>
      <c r="P17">
        <f t="shared" si="10"/>
        <v>30.65</v>
      </c>
      <c r="Q17">
        <f t="shared" si="11"/>
        <v>0</v>
      </c>
      <c r="R17">
        <f t="shared" si="12"/>
        <v>27.906108880000005</v>
      </c>
      <c r="S17">
        <f t="shared" si="13"/>
        <v>0</v>
      </c>
      <c r="AE17">
        <f t="shared" si="14"/>
        <v>0</v>
      </c>
      <c r="AF17">
        <f t="shared" si="15"/>
        <v>0</v>
      </c>
      <c r="AG17">
        <f t="shared" si="16"/>
        <v>0</v>
      </c>
      <c r="AH17">
        <f t="shared" si="17"/>
        <v>0</v>
      </c>
    </row>
    <row r="18" spans="1:34" ht="16" thickBot="1" x14ac:dyDescent="0.25">
      <c r="A18" s="5">
        <f t="shared" si="1"/>
        <v>17</v>
      </c>
      <c r="B18" s="11">
        <v>8</v>
      </c>
      <c r="C18" s="20">
        <v>56</v>
      </c>
      <c r="D18" s="4">
        <f t="shared" si="18"/>
        <v>32.4</v>
      </c>
      <c r="E18" s="4">
        <f t="shared" si="19"/>
        <v>27.049438976000005</v>
      </c>
      <c r="F18" s="20">
        <v>30</v>
      </c>
      <c r="G18" s="23">
        <f t="shared" si="2"/>
        <v>15</v>
      </c>
      <c r="H18" s="24">
        <f t="shared" si="3"/>
        <v>15</v>
      </c>
      <c r="I18" s="9">
        <f t="shared" si="4"/>
        <v>15</v>
      </c>
      <c r="J18" s="10">
        <f t="shared" si="5"/>
        <v>15</v>
      </c>
      <c r="K18" s="25">
        <f t="shared" si="0"/>
        <v>2250</v>
      </c>
      <c r="L18">
        <f t="shared" si="6"/>
        <v>8</v>
      </c>
      <c r="M18">
        <f t="shared" si="7"/>
        <v>0</v>
      </c>
      <c r="N18">
        <f t="shared" si="8"/>
        <v>56</v>
      </c>
      <c r="O18">
        <f t="shared" si="9"/>
        <v>0</v>
      </c>
      <c r="P18">
        <f t="shared" si="10"/>
        <v>32.4</v>
      </c>
      <c r="Q18">
        <f t="shared" si="11"/>
        <v>0</v>
      </c>
      <c r="R18">
        <f t="shared" si="12"/>
        <v>27.049438976000005</v>
      </c>
      <c r="S18">
        <f t="shared" si="13"/>
        <v>0</v>
      </c>
      <c r="AE18">
        <f t="shared" si="14"/>
        <v>0</v>
      </c>
      <c r="AF18">
        <f t="shared" si="15"/>
        <v>0</v>
      </c>
      <c r="AG18">
        <f t="shared" si="16"/>
        <v>0</v>
      </c>
      <c r="AH18">
        <f t="shared" si="17"/>
        <v>0</v>
      </c>
    </row>
    <row r="19" spans="1:34" ht="16" thickBot="1" x14ac:dyDescent="0.25">
      <c r="A19" s="5">
        <f t="shared" si="1"/>
        <v>18</v>
      </c>
      <c r="B19" s="11">
        <v>12</v>
      </c>
      <c r="C19" s="20">
        <v>54</v>
      </c>
      <c r="D19" s="4">
        <f t="shared" si="18"/>
        <v>34.85</v>
      </c>
      <c r="E19" s="4">
        <f t="shared" si="19"/>
        <v>27.938249235200004</v>
      </c>
      <c r="F19" s="20">
        <v>18</v>
      </c>
      <c r="G19" s="23">
        <f t="shared" si="2"/>
        <v>9</v>
      </c>
      <c r="H19" s="24">
        <f t="shared" si="3"/>
        <v>9</v>
      </c>
      <c r="I19" s="9">
        <f t="shared" si="4"/>
        <v>9</v>
      </c>
      <c r="J19" s="10">
        <f t="shared" si="5"/>
        <v>9</v>
      </c>
      <c r="K19" s="25">
        <f t="shared" si="0"/>
        <v>1350</v>
      </c>
      <c r="L19">
        <f t="shared" si="6"/>
        <v>12</v>
      </c>
      <c r="M19">
        <f t="shared" si="7"/>
        <v>0</v>
      </c>
      <c r="N19">
        <f t="shared" si="8"/>
        <v>54</v>
      </c>
      <c r="O19">
        <f t="shared" si="9"/>
        <v>0</v>
      </c>
      <c r="P19">
        <f t="shared" si="10"/>
        <v>34.85</v>
      </c>
      <c r="Q19">
        <f t="shared" si="11"/>
        <v>0</v>
      </c>
      <c r="R19">
        <f t="shared" si="12"/>
        <v>27.938249235200004</v>
      </c>
      <c r="S19">
        <f t="shared" si="13"/>
        <v>0</v>
      </c>
      <c r="AE19">
        <f t="shared" si="14"/>
        <v>0</v>
      </c>
      <c r="AF19">
        <f t="shared" si="15"/>
        <v>0</v>
      </c>
      <c r="AG19">
        <f t="shared" si="16"/>
        <v>0</v>
      </c>
      <c r="AH19">
        <f t="shared" si="17"/>
        <v>0</v>
      </c>
    </row>
    <row r="20" spans="1:34" ht="16" thickBot="1" x14ac:dyDescent="0.25">
      <c r="A20" s="5">
        <f t="shared" si="1"/>
        <v>19</v>
      </c>
      <c r="B20" s="11">
        <v>15</v>
      </c>
      <c r="C20" s="20">
        <v>46</v>
      </c>
      <c r="D20" s="4">
        <f t="shared" si="18"/>
        <v>34.900000000000006</v>
      </c>
      <c r="E20" s="4">
        <f t="shared" si="19"/>
        <v>25.380760735040003</v>
      </c>
      <c r="F20" s="20">
        <v>18</v>
      </c>
      <c r="G20" s="23">
        <f t="shared" si="2"/>
        <v>9</v>
      </c>
      <c r="H20" s="24">
        <f t="shared" si="3"/>
        <v>9</v>
      </c>
      <c r="I20" s="9">
        <f t="shared" si="4"/>
        <v>9</v>
      </c>
      <c r="J20" s="10">
        <f t="shared" si="5"/>
        <v>9</v>
      </c>
      <c r="K20" s="25">
        <f t="shared" si="0"/>
        <v>1350</v>
      </c>
      <c r="L20">
        <f t="shared" si="6"/>
        <v>15</v>
      </c>
      <c r="M20">
        <f t="shared" si="7"/>
        <v>0</v>
      </c>
      <c r="N20">
        <f t="shared" si="8"/>
        <v>46</v>
      </c>
      <c r="O20">
        <f t="shared" si="9"/>
        <v>0</v>
      </c>
      <c r="P20">
        <f t="shared" si="10"/>
        <v>34.900000000000006</v>
      </c>
      <c r="Q20">
        <f t="shared" si="11"/>
        <v>0</v>
      </c>
      <c r="R20">
        <f t="shared" si="12"/>
        <v>25.380760735040003</v>
      </c>
      <c r="S20">
        <f t="shared" si="13"/>
        <v>0</v>
      </c>
      <c r="AE20">
        <f t="shared" si="14"/>
        <v>0</v>
      </c>
      <c r="AF20">
        <f t="shared" si="15"/>
        <v>0</v>
      </c>
      <c r="AG20">
        <f t="shared" si="16"/>
        <v>0</v>
      </c>
      <c r="AH20">
        <f t="shared" si="17"/>
        <v>0</v>
      </c>
    </row>
    <row r="21" spans="1:34" ht="16" thickBot="1" x14ac:dyDescent="0.25">
      <c r="A21" s="5">
        <f t="shared" si="1"/>
        <v>20</v>
      </c>
      <c r="B21" s="11">
        <v>10</v>
      </c>
      <c r="C21" s="20">
        <v>47</v>
      </c>
      <c r="D21" s="4">
        <f t="shared" si="18"/>
        <v>34.5</v>
      </c>
      <c r="E21" s="4">
        <f t="shared" si="19"/>
        <v>26.413596044608006</v>
      </c>
      <c r="F21" s="20">
        <v>24</v>
      </c>
      <c r="G21" s="23">
        <f t="shared" si="2"/>
        <v>12</v>
      </c>
      <c r="H21" s="24">
        <f t="shared" si="3"/>
        <v>12</v>
      </c>
      <c r="I21" s="9">
        <f t="shared" si="4"/>
        <v>12</v>
      </c>
      <c r="J21" s="10">
        <f t="shared" si="5"/>
        <v>12</v>
      </c>
      <c r="K21" s="25">
        <f t="shared" si="0"/>
        <v>1800</v>
      </c>
      <c r="L21">
        <f t="shared" si="6"/>
        <v>10</v>
      </c>
      <c r="M21">
        <f t="shared" si="7"/>
        <v>0</v>
      </c>
      <c r="N21">
        <f t="shared" si="8"/>
        <v>47</v>
      </c>
      <c r="O21">
        <f t="shared" si="9"/>
        <v>0</v>
      </c>
      <c r="P21">
        <f t="shared" si="10"/>
        <v>34.5</v>
      </c>
      <c r="Q21">
        <f t="shared" si="11"/>
        <v>0</v>
      </c>
      <c r="R21">
        <f t="shared" si="12"/>
        <v>26.413596044608006</v>
      </c>
      <c r="S21">
        <f t="shared" si="13"/>
        <v>0</v>
      </c>
      <c r="AE21">
        <f t="shared" si="14"/>
        <v>0</v>
      </c>
      <c r="AF21">
        <f t="shared" si="15"/>
        <v>0</v>
      </c>
      <c r="AG21">
        <f t="shared" si="16"/>
        <v>0</v>
      </c>
      <c r="AH21">
        <f t="shared" si="17"/>
        <v>0</v>
      </c>
    </row>
    <row r="22" spans="1:34" ht="16" thickBot="1" x14ac:dyDescent="0.25">
      <c r="A22" s="5">
        <f t="shared" si="1"/>
        <v>21</v>
      </c>
      <c r="B22" s="11">
        <v>16</v>
      </c>
      <c r="C22" s="20">
        <v>44</v>
      </c>
      <c r="D22" s="4">
        <f t="shared" si="18"/>
        <v>35</v>
      </c>
      <c r="E22" s="4">
        <f t="shared" si="19"/>
        <v>26.159044132441601</v>
      </c>
      <c r="F22" s="20">
        <v>30</v>
      </c>
      <c r="G22" s="23">
        <f t="shared" si="2"/>
        <v>15</v>
      </c>
      <c r="H22" s="24">
        <f t="shared" si="3"/>
        <v>15</v>
      </c>
      <c r="I22" s="9">
        <f t="shared" si="4"/>
        <v>15</v>
      </c>
      <c r="J22" s="10">
        <f t="shared" si="5"/>
        <v>15</v>
      </c>
      <c r="K22" s="25">
        <f t="shared" si="0"/>
        <v>2250</v>
      </c>
      <c r="L22">
        <f t="shared" si="6"/>
        <v>16</v>
      </c>
      <c r="M22">
        <f t="shared" si="7"/>
        <v>0</v>
      </c>
      <c r="N22">
        <f t="shared" si="8"/>
        <v>44</v>
      </c>
      <c r="O22">
        <f t="shared" si="9"/>
        <v>0</v>
      </c>
      <c r="P22">
        <f t="shared" si="10"/>
        <v>35</v>
      </c>
      <c r="Q22">
        <f t="shared" si="11"/>
        <v>0</v>
      </c>
      <c r="R22">
        <f t="shared" si="12"/>
        <v>26.159044132441601</v>
      </c>
      <c r="S22">
        <f t="shared" si="13"/>
        <v>0</v>
      </c>
      <c r="AE22">
        <f t="shared" si="14"/>
        <v>0</v>
      </c>
      <c r="AF22">
        <f t="shared" si="15"/>
        <v>0</v>
      </c>
      <c r="AG22">
        <f t="shared" si="16"/>
        <v>0</v>
      </c>
      <c r="AH22">
        <f t="shared" si="17"/>
        <v>0</v>
      </c>
    </row>
    <row r="23" spans="1:34" ht="16" thickBot="1" x14ac:dyDescent="0.25">
      <c r="A23" s="5">
        <f t="shared" si="1"/>
        <v>22</v>
      </c>
      <c r="B23" s="11">
        <v>16</v>
      </c>
      <c r="C23" s="20">
        <v>53</v>
      </c>
      <c r="D23" s="4">
        <f t="shared" si="18"/>
        <v>33.800000000000004</v>
      </c>
      <c r="E23" s="4">
        <f t="shared" si="19"/>
        <v>26.349884899992322</v>
      </c>
      <c r="F23" s="20">
        <v>24</v>
      </c>
      <c r="G23" s="23">
        <f t="shared" si="2"/>
        <v>12</v>
      </c>
      <c r="H23" s="24">
        <f t="shared" si="3"/>
        <v>12</v>
      </c>
      <c r="I23" s="9">
        <f t="shared" si="4"/>
        <v>12</v>
      </c>
      <c r="J23" s="10">
        <f t="shared" si="5"/>
        <v>12</v>
      </c>
      <c r="K23" s="25">
        <f t="shared" si="0"/>
        <v>1800</v>
      </c>
      <c r="L23">
        <f t="shared" si="6"/>
        <v>16</v>
      </c>
      <c r="M23">
        <f t="shared" si="7"/>
        <v>0</v>
      </c>
      <c r="N23">
        <f t="shared" si="8"/>
        <v>53</v>
      </c>
      <c r="O23">
        <f t="shared" si="9"/>
        <v>0</v>
      </c>
      <c r="P23">
        <f t="shared" si="10"/>
        <v>33.800000000000004</v>
      </c>
      <c r="Q23">
        <f t="shared" si="11"/>
        <v>0</v>
      </c>
      <c r="R23">
        <f t="shared" si="12"/>
        <v>26.349884899992322</v>
      </c>
      <c r="S23">
        <f t="shared" si="13"/>
        <v>0</v>
      </c>
      <c r="AE23">
        <f t="shared" si="14"/>
        <v>0</v>
      </c>
      <c r="AF23">
        <f t="shared" si="15"/>
        <v>0</v>
      </c>
      <c r="AG23">
        <f t="shared" si="16"/>
        <v>0</v>
      </c>
      <c r="AH23">
        <f t="shared" si="17"/>
        <v>0</v>
      </c>
    </row>
    <row r="24" spans="1:34" ht="16" thickBot="1" x14ac:dyDescent="0.25">
      <c r="A24" s="5">
        <f t="shared" si="1"/>
        <v>23</v>
      </c>
      <c r="B24" s="11">
        <v>11</v>
      </c>
      <c r="C24" s="20">
        <v>61</v>
      </c>
      <c r="D24" s="4">
        <f t="shared" si="18"/>
        <v>36.25</v>
      </c>
      <c r="E24" s="4">
        <f t="shared" si="19"/>
        <v>26.903836584459263</v>
      </c>
      <c r="F24" s="20">
        <v>24</v>
      </c>
      <c r="G24" s="23">
        <f t="shared" si="2"/>
        <v>12</v>
      </c>
      <c r="H24" s="24">
        <f t="shared" si="3"/>
        <v>12</v>
      </c>
      <c r="I24" s="9">
        <f t="shared" si="4"/>
        <v>12</v>
      </c>
      <c r="J24" s="10">
        <f t="shared" si="5"/>
        <v>12</v>
      </c>
      <c r="K24" s="25">
        <f t="shared" si="0"/>
        <v>1800</v>
      </c>
      <c r="L24">
        <f t="shared" si="6"/>
        <v>11</v>
      </c>
      <c r="M24">
        <f t="shared" si="7"/>
        <v>0</v>
      </c>
      <c r="N24">
        <f t="shared" si="8"/>
        <v>61</v>
      </c>
      <c r="O24">
        <f t="shared" si="9"/>
        <v>0</v>
      </c>
      <c r="P24">
        <f t="shared" si="10"/>
        <v>36.25</v>
      </c>
      <c r="Q24">
        <f t="shared" si="11"/>
        <v>0</v>
      </c>
      <c r="R24">
        <f t="shared" si="12"/>
        <v>26.903836584459263</v>
      </c>
      <c r="S24">
        <f t="shared" si="13"/>
        <v>0</v>
      </c>
      <c r="AE24">
        <f t="shared" si="14"/>
        <v>0</v>
      </c>
      <c r="AF24">
        <f t="shared" si="15"/>
        <v>0</v>
      </c>
      <c r="AG24">
        <f t="shared" si="16"/>
        <v>0</v>
      </c>
      <c r="AH24">
        <f t="shared" si="17"/>
        <v>0</v>
      </c>
    </row>
    <row r="25" spans="1:34" ht="16" thickBot="1" x14ac:dyDescent="0.25">
      <c r="A25" s="5">
        <f t="shared" si="1"/>
        <v>24</v>
      </c>
      <c r="B25" s="11">
        <v>11</v>
      </c>
      <c r="C25" s="20">
        <v>59</v>
      </c>
      <c r="D25" s="4">
        <f t="shared" si="18"/>
        <v>38.6</v>
      </c>
      <c r="E25" s="4">
        <f t="shared" si="19"/>
        <v>27.346671730136016</v>
      </c>
      <c r="F25" s="20">
        <v>30</v>
      </c>
      <c r="G25" s="23">
        <f t="shared" si="2"/>
        <v>15</v>
      </c>
      <c r="H25" s="24">
        <f t="shared" si="3"/>
        <v>15</v>
      </c>
      <c r="I25" s="9">
        <f t="shared" si="4"/>
        <v>15</v>
      </c>
      <c r="J25" s="10">
        <f t="shared" si="5"/>
        <v>15</v>
      </c>
      <c r="K25" s="25">
        <f t="shared" si="0"/>
        <v>2250</v>
      </c>
      <c r="L25">
        <f t="shared" si="6"/>
        <v>11</v>
      </c>
      <c r="M25">
        <f t="shared" si="7"/>
        <v>0</v>
      </c>
      <c r="N25">
        <f t="shared" si="8"/>
        <v>59</v>
      </c>
      <c r="O25">
        <f t="shared" si="9"/>
        <v>0</v>
      </c>
      <c r="P25">
        <f t="shared" si="10"/>
        <v>38.6</v>
      </c>
      <c r="Q25">
        <f t="shared" si="11"/>
        <v>0</v>
      </c>
      <c r="R25">
        <f t="shared" si="12"/>
        <v>27.346671730136016</v>
      </c>
      <c r="S25">
        <f t="shared" si="13"/>
        <v>0</v>
      </c>
      <c r="AE25">
        <f t="shared" si="14"/>
        <v>0</v>
      </c>
      <c r="AF25">
        <f t="shared" si="15"/>
        <v>0</v>
      </c>
      <c r="AG25">
        <f t="shared" si="16"/>
        <v>0</v>
      </c>
      <c r="AH25">
        <f t="shared" si="17"/>
        <v>0</v>
      </c>
    </row>
    <row r="26" spans="1:34" ht="16" thickBot="1" x14ac:dyDescent="0.25">
      <c r="A26" s="5">
        <f t="shared" si="1"/>
        <v>25</v>
      </c>
      <c r="B26" s="11">
        <v>16</v>
      </c>
      <c r="C26" s="20">
        <v>40</v>
      </c>
      <c r="D26" s="4">
        <f t="shared" si="18"/>
        <v>36.050000000000004</v>
      </c>
      <c r="E26" s="4">
        <f t="shared" si="19"/>
        <v>27.349322836026438</v>
      </c>
      <c r="F26" s="20">
        <v>30</v>
      </c>
      <c r="G26" s="23">
        <f t="shared" si="2"/>
        <v>15</v>
      </c>
      <c r="H26" s="24">
        <f t="shared" si="3"/>
        <v>15</v>
      </c>
      <c r="I26" s="9">
        <f t="shared" si="4"/>
        <v>15</v>
      </c>
      <c r="J26" s="10">
        <f t="shared" si="5"/>
        <v>15</v>
      </c>
      <c r="K26" s="25">
        <f t="shared" si="0"/>
        <v>2250</v>
      </c>
      <c r="L26">
        <f t="shared" si="6"/>
        <v>16</v>
      </c>
      <c r="M26">
        <f t="shared" si="7"/>
        <v>0</v>
      </c>
      <c r="N26">
        <f t="shared" si="8"/>
        <v>40</v>
      </c>
      <c r="O26">
        <f t="shared" si="9"/>
        <v>0</v>
      </c>
      <c r="P26">
        <f t="shared" si="10"/>
        <v>36.050000000000004</v>
      </c>
      <c r="Q26">
        <f t="shared" si="11"/>
        <v>0</v>
      </c>
      <c r="R26">
        <f t="shared" si="12"/>
        <v>27.349322836026438</v>
      </c>
      <c r="S26">
        <f t="shared" si="13"/>
        <v>0</v>
      </c>
      <c r="AE26">
        <f t="shared" si="14"/>
        <v>0</v>
      </c>
      <c r="AF26">
        <f t="shared" si="15"/>
        <v>0</v>
      </c>
      <c r="AG26">
        <f t="shared" si="16"/>
        <v>0</v>
      </c>
      <c r="AH26">
        <f t="shared" si="17"/>
        <v>0</v>
      </c>
    </row>
    <row r="27" spans="1:34" ht="16" thickBot="1" x14ac:dyDescent="0.25">
      <c r="A27" s="5">
        <f t="shared" si="1"/>
        <v>26</v>
      </c>
      <c r="B27" s="11">
        <v>7</v>
      </c>
      <c r="C27" s="20">
        <v>48</v>
      </c>
      <c r="D27" s="4">
        <f t="shared" si="18"/>
        <v>34.450000000000003</v>
      </c>
      <c r="E27" s="4">
        <f t="shared" si="19"/>
        <v>27.765248225651213</v>
      </c>
      <c r="F27" s="20">
        <v>24</v>
      </c>
      <c r="G27" s="23">
        <f t="shared" si="2"/>
        <v>12</v>
      </c>
      <c r="H27" s="24">
        <f t="shared" si="3"/>
        <v>12</v>
      </c>
      <c r="I27" s="9">
        <f t="shared" si="4"/>
        <v>12</v>
      </c>
      <c r="J27" s="10">
        <f t="shared" si="5"/>
        <v>12</v>
      </c>
      <c r="K27" s="25">
        <f t="shared" si="0"/>
        <v>1800</v>
      </c>
      <c r="L27">
        <f t="shared" si="6"/>
        <v>7</v>
      </c>
      <c r="M27">
        <f t="shared" si="7"/>
        <v>0</v>
      </c>
      <c r="N27">
        <f t="shared" si="8"/>
        <v>48</v>
      </c>
      <c r="O27">
        <f t="shared" si="9"/>
        <v>0</v>
      </c>
      <c r="P27">
        <f t="shared" si="10"/>
        <v>34.450000000000003</v>
      </c>
      <c r="Q27">
        <f t="shared" si="11"/>
        <v>0</v>
      </c>
      <c r="R27">
        <f t="shared" si="12"/>
        <v>27.765248225651213</v>
      </c>
      <c r="S27">
        <f t="shared" si="13"/>
        <v>0</v>
      </c>
      <c r="AE27">
        <f t="shared" si="14"/>
        <v>0</v>
      </c>
      <c r="AF27">
        <f t="shared" si="15"/>
        <v>0</v>
      </c>
      <c r="AG27">
        <f t="shared" si="16"/>
        <v>0</v>
      </c>
      <c r="AH27">
        <f t="shared" si="17"/>
        <v>0</v>
      </c>
    </row>
    <row r="28" spans="1:34" ht="16" thickBot="1" x14ac:dyDescent="0.25">
      <c r="A28" s="5">
        <f t="shared" si="1"/>
        <v>27</v>
      </c>
      <c r="B28" s="11">
        <v>12</v>
      </c>
      <c r="C28" s="20">
        <v>36</v>
      </c>
      <c r="D28" s="4">
        <f t="shared" si="18"/>
        <v>35.35</v>
      </c>
      <c r="E28" s="4">
        <f t="shared" si="19"/>
        <v>27.902716818143848</v>
      </c>
      <c r="F28" s="20">
        <v>18</v>
      </c>
      <c r="G28" s="23">
        <f t="shared" si="2"/>
        <v>9</v>
      </c>
      <c r="H28" s="24">
        <f t="shared" si="3"/>
        <v>9</v>
      </c>
      <c r="I28" s="9">
        <f t="shared" si="4"/>
        <v>9</v>
      </c>
      <c r="J28" s="10">
        <f t="shared" si="5"/>
        <v>9</v>
      </c>
      <c r="K28" s="25">
        <f t="shared" si="0"/>
        <v>1350</v>
      </c>
      <c r="L28">
        <f t="shared" si="6"/>
        <v>12</v>
      </c>
      <c r="M28">
        <f t="shared" si="7"/>
        <v>0</v>
      </c>
      <c r="N28">
        <f t="shared" si="8"/>
        <v>36</v>
      </c>
      <c r="O28">
        <f t="shared" si="9"/>
        <v>0</v>
      </c>
      <c r="P28">
        <f t="shared" si="10"/>
        <v>35.35</v>
      </c>
      <c r="Q28">
        <f t="shared" si="11"/>
        <v>0</v>
      </c>
      <c r="R28">
        <f t="shared" si="12"/>
        <v>27.902716818143848</v>
      </c>
      <c r="S28">
        <f t="shared" si="13"/>
        <v>0</v>
      </c>
      <c r="AE28">
        <f t="shared" si="14"/>
        <v>0</v>
      </c>
      <c r="AF28">
        <f t="shared" si="15"/>
        <v>0</v>
      </c>
      <c r="AG28">
        <f t="shared" si="16"/>
        <v>0</v>
      </c>
      <c r="AH28">
        <f t="shared" si="17"/>
        <v>0</v>
      </c>
    </row>
    <row r="29" spans="1:34" ht="16" thickBot="1" x14ac:dyDescent="0.25">
      <c r="A29" s="5">
        <f t="shared" si="1"/>
        <v>28</v>
      </c>
      <c r="B29" s="11">
        <v>15</v>
      </c>
      <c r="C29" s="20">
        <v>43</v>
      </c>
      <c r="D29" s="4">
        <f t="shared" si="18"/>
        <v>32.700000000000003</v>
      </c>
      <c r="E29" s="4">
        <f t="shared" si="19"/>
        <v>28.122975647231414</v>
      </c>
      <c r="F29" s="20">
        <v>12</v>
      </c>
      <c r="G29" s="23">
        <f t="shared" si="2"/>
        <v>6</v>
      </c>
      <c r="H29" s="24">
        <f t="shared" si="3"/>
        <v>6</v>
      </c>
      <c r="I29" s="9">
        <f t="shared" si="4"/>
        <v>6</v>
      </c>
      <c r="J29" s="10">
        <f t="shared" si="5"/>
        <v>6</v>
      </c>
      <c r="K29" s="25">
        <f t="shared" si="0"/>
        <v>907.82297564723137</v>
      </c>
      <c r="L29">
        <f t="shared" si="6"/>
        <v>15</v>
      </c>
      <c r="M29">
        <f t="shared" si="7"/>
        <v>0</v>
      </c>
      <c r="N29">
        <f t="shared" si="8"/>
        <v>43</v>
      </c>
      <c r="O29">
        <f t="shared" si="9"/>
        <v>0</v>
      </c>
      <c r="P29">
        <f t="shared" si="10"/>
        <v>32.700000000000003</v>
      </c>
      <c r="Q29">
        <f t="shared" si="11"/>
        <v>0</v>
      </c>
      <c r="R29">
        <f t="shared" si="12"/>
        <v>20.299999999999997</v>
      </c>
      <c r="S29">
        <f t="shared" si="13"/>
        <v>7.8229756472314165</v>
      </c>
      <c r="AE29">
        <f t="shared" si="14"/>
        <v>0</v>
      </c>
      <c r="AF29">
        <f t="shared" si="15"/>
        <v>0</v>
      </c>
      <c r="AG29">
        <f t="shared" si="16"/>
        <v>0</v>
      </c>
      <c r="AH29">
        <f t="shared" si="17"/>
        <v>1</v>
      </c>
    </row>
    <row r="30" spans="1:34" ht="16" thickBot="1" x14ac:dyDescent="0.25">
      <c r="A30" s="5">
        <f t="shared" si="1"/>
        <v>29</v>
      </c>
      <c r="B30" s="11">
        <v>8</v>
      </c>
      <c r="C30" s="20">
        <v>42</v>
      </c>
      <c r="D30" s="4">
        <f t="shared" si="18"/>
        <v>34.300000000000004</v>
      </c>
      <c r="E30" s="4">
        <f t="shared" si="19"/>
        <v>26.646524822565119</v>
      </c>
      <c r="F30" s="20">
        <v>18</v>
      </c>
      <c r="G30" s="23">
        <f t="shared" si="2"/>
        <v>9</v>
      </c>
      <c r="H30" s="24">
        <f t="shared" si="3"/>
        <v>9</v>
      </c>
      <c r="I30" s="9">
        <f t="shared" si="4"/>
        <v>9</v>
      </c>
      <c r="J30" s="10">
        <f t="shared" si="5"/>
        <v>9</v>
      </c>
      <c r="K30" s="25">
        <f t="shared" si="0"/>
        <v>1350</v>
      </c>
      <c r="L30">
        <f t="shared" si="6"/>
        <v>8</v>
      </c>
      <c r="M30">
        <f t="shared" si="7"/>
        <v>0</v>
      </c>
      <c r="N30">
        <f t="shared" si="8"/>
        <v>42</v>
      </c>
      <c r="O30">
        <f t="shared" si="9"/>
        <v>0</v>
      </c>
      <c r="P30">
        <f t="shared" si="10"/>
        <v>34.300000000000004</v>
      </c>
      <c r="Q30">
        <f t="shared" si="11"/>
        <v>0</v>
      </c>
      <c r="R30">
        <f t="shared" si="12"/>
        <v>34.469500469796536</v>
      </c>
      <c r="S30">
        <f t="shared" si="13"/>
        <v>0</v>
      </c>
      <c r="AE30">
        <f t="shared" si="14"/>
        <v>0</v>
      </c>
      <c r="AF30">
        <f t="shared" si="15"/>
        <v>0</v>
      </c>
      <c r="AG30">
        <f t="shared" si="16"/>
        <v>0</v>
      </c>
      <c r="AH30">
        <f t="shared" si="17"/>
        <v>0</v>
      </c>
    </row>
    <row r="31" spans="1:34" ht="16" thickBot="1" x14ac:dyDescent="0.25">
      <c r="A31" s="5">
        <f t="shared" si="1"/>
        <v>30</v>
      </c>
      <c r="B31" s="11">
        <v>19</v>
      </c>
      <c r="C31" s="20">
        <v>47</v>
      </c>
      <c r="D31" s="4">
        <f t="shared" si="18"/>
        <v>33.700000000000003</v>
      </c>
      <c r="E31" s="4">
        <f t="shared" si="19"/>
        <v>29.196671775773694</v>
      </c>
      <c r="F31" s="20">
        <v>18</v>
      </c>
      <c r="G31" s="23">
        <f t="shared" si="2"/>
        <v>9</v>
      </c>
      <c r="H31" s="24">
        <f t="shared" si="3"/>
        <v>9</v>
      </c>
      <c r="I31" s="9">
        <f t="shared" si="4"/>
        <v>9</v>
      </c>
      <c r="J31" s="10">
        <f t="shared" si="5"/>
        <v>9</v>
      </c>
      <c r="K31" s="25">
        <f t="shared" si="0"/>
        <v>1350</v>
      </c>
      <c r="L31">
        <f t="shared" si="6"/>
        <v>19</v>
      </c>
      <c r="M31">
        <f t="shared" si="7"/>
        <v>0</v>
      </c>
      <c r="N31">
        <f t="shared" si="8"/>
        <v>47</v>
      </c>
      <c r="O31">
        <f t="shared" si="9"/>
        <v>0</v>
      </c>
      <c r="P31">
        <f t="shared" si="10"/>
        <v>33.700000000000003</v>
      </c>
      <c r="Q31">
        <f t="shared" si="11"/>
        <v>0</v>
      </c>
      <c r="R31">
        <f t="shared" si="12"/>
        <v>29.196671775773694</v>
      </c>
      <c r="S31">
        <f t="shared" si="13"/>
        <v>0</v>
      </c>
      <c r="AE31">
        <f t="shared" si="14"/>
        <v>0</v>
      </c>
      <c r="AF31">
        <f t="shared" si="15"/>
        <v>0</v>
      </c>
      <c r="AG31">
        <f t="shared" si="16"/>
        <v>0</v>
      </c>
      <c r="AH31">
        <f t="shared" si="17"/>
        <v>0</v>
      </c>
    </row>
    <row r="32" spans="1:34" ht="16" thickBot="1" x14ac:dyDescent="0.25">
      <c r="A32" s="5">
        <f t="shared" si="1"/>
        <v>31</v>
      </c>
      <c r="B32" s="11">
        <v>12</v>
      </c>
      <c r="C32" s="20">
        <v>51</v>
      </c>
      <c r="D32" s="4">
        <f t="shared" si="18"/>
        <v>33.25</v>
      </c>
      <c r="E32" s="4">
        <f t="shared" si="19"/>
        <v>26.391834355154742</v>
      </c>
      <c r="F32" s="20">
        <v>12</v>
      </c>
      <c r="G32" s="23">
        <f t="shared" si="2"/>
        <v>6</v>
      </c>
      <c r="H32" s="24">
        <f t="shared" si="3"/>
        <v>6</v>
      </c>
      <c r="I32" s="9">
        <f t="shared" si="4"/>
        <v>6</v>
      </c>
      <c r="J32" s="10">
        <f t="shared" si="5"/>
        <v>6</v>
      </c>
      <c r="K32" s="25">
        <f t="shared" si="0"/>
        <v>914.64183435515474</v>
      </c>
      <c r="L32">
        <f t="shared" si="6"/>
        <v>12</v>
      </c>
      <c r="M32">
        <f t="shared" si="7"/>
        <v>0</v>
      </c>
      <c r="N32">
        <f t="shared" si="8"/>
        <v>51</v>
      </c>
      <c r="O32">
        <f t="shared" si="9"/>
        <v>0</v>
      </c>
      <c r="P32">
        <f t="shared" si="10"/>
        <v>33.25</v>
      </c>
      <c r="Q32">
        <f t="shared" si="11"/>
        <v>0</v>
      </c>
      <c r="R32">
        <f t="shared" si="12"/>
        <v>11.75</v>
      </c>
      <c r="S32">
        <f t="shared" si="13"/>
        <v>14.641834355154742</v>
      </c>
      <c r="AE32">
        <f t="shared" si="14"/>
        <v>0</v>
      </c>
      <c r="AF32">
        <f t="shared" si="15"/>
        <v>0</v>
      </c>
      <c r="AG32">
        <f t="shared" si="16"/>
        <v>0</v>
      </c>
      <c r="AH32">
        <f t="shared" si="17"/>
        <v>1</v>
      </c>
    </row>
    <row r="33" spans="1:34" ht="16" thickBot="1" x14ac:dyDescent="0.25">
      <c r="A33" s="5">
        <f t="shared" si="1"/>
        <v>32</v>
      </c>
      <c r="B33" s="11">
        <v>11</v>
      </c>
      <c r="C33" s="20">
        <v>49</v>
      </c>
      <c r="D33" s="4">
        <f t="shared" si="18"/>
        <v>31.8</v>
      </c>
      <c r="E33" s="4">
        <f t="shared" si="19"/>
        <v>24.819450046979654</v>
      </c>
      <c r="F33" s="20">
        <v>18</v>
      </c>
      <c r="G33" s="23">
        <f t="shared" si="2"/>
        <v>9</v>
      </c>
      <c r="H33" s="24">
        <f t="shared" si="3"/>
        <v>9</v>
      </c>
      <c r="I33" s="9">
        <f t="shared" si="4"/>
        <v>9</v>
      </c>
      <c r="J33" s="10">
        <f t="shared" si="5"/>
        <v>9</v>
      </c>
      <c r="K33" s="25">
        <f t="shared" si="0"/>
        <v>1350</v>
      </c>
      <c r="L33">
        <f t="shared" si="6"/>
        <v>11</v>
      </c>
      <c r="M33">
        <f t="shared" si="7"/>
        <v>0</v>
      </c>
      <c r="N33">
        <f t="shared" si="8"/>
        <v>49</v>
      </c>
      <c r="O33">
        <f t="shared" si="9"/>
        <v>0</v>
      </c>
      <c r="P33">
        <f t="shared" si="10"/>
        <v>31.8</v>
      </c>
      <c r="Q33">
        <f t="shared" si="11"/>
        <v>0</v>
      </c>
      <c r="R33">
        <f t="shared" si="12"/>
        <v>39.461284402134396</v>
      </c>
      <c r="S33">
        <f t="shared" si="13"/>
        <v>0</v>
      </c>
      <c r="AE33">
        <f t="shared" si="14"/>
        <v>0</v>
      </c>
      <c r="AF33">
        <f t="shared" si="15"/>
        <v>0</v>
      </c>
      <c r="AG33">
        <f t="shared" si="16"/>
        <v>0</v>
      </c>
      <c r="AH33">
        <f t="shared" si="17"/>
        <v>0</v>
      </c>
    </row>
    <row r="34" spans="1:34" ht="16" thickBot="1" x14ac:dyDescent="0.25">
      <c r="A34" s="5">
        <f t="shared" si="1"/>
        <v>33</v>
      </c>
      <c r="B34" s="11">
        <v>9</v>
      </c>
      <c r="C34" s="20">
        <v>42</v>
      </c>
      <c r="D34" s="4">
        <f t="shared" si="18"/>
        <v>35.15</v>
      </c>
      <c r="E34" s="4">
        <f t="shared" si="19"/>
        <v>28.90692405800425</v>
      </c>
      <c r="F34" s="20">
        <v>30</v>
      </c>
      <c r="G34" s="23">
        <f t="shared" si="2"/>
        <v>15</v>
      </c>
      <c r="H34" s="24">
        <f t="shared" si="3"/>
        <v>15</v>
      </c>
      <c r="I34" s="9">
        <f t="shared" si="4"/>
        <v>15</v>
      </c>
      <c r="J34" s="10">
        <f t="shared" si="5"/>
        <v>15</v>
      </c>
      <c r="K34" s="25">
        <f t="shared" si="0"/>
        <v>2250</v>
      </c>
      <c r="L34">
        <f t="shared" si="6"/>
        <v>9</v>
      </c>
      <c r="M34">
        <f t="shared" si="7"/>
        <v>0</v>
      </c>
      <c r="N34">
        <f t="shared" si="8"/>
        <v>42</v>
      </c>
      <c r="O34">
        <f t="shared" si="9"/>
        <v>0</v>
      </c>
      <c r="P34">
        <f t="shared" si="10"/>
        <v>35.15</v>
      </c>
      <c r="Q34">
        <f t="shared" si="11"/>
        <v>0</v>
      </c>
      <c r="R34">
        <f t="shared" si="12"/>
        <v>28.90692405800425</v>
      </c>
      <c r="S34">
        <f t="shared" si="13"/>
        <v>0</v>
      </c>
      <c r="AE34">
        <f t="shared" si="14"/>
        <v>0</v>
      </c>
      <c r="AF34">
        <f t="shared" si="15"/>
        <v>0</v>
      </c>
      <c r="AG34">
        <f t="shared" si="16"/>
        <v>0</v>
      </c>
      <c r="AH34">
        <f t="shared" si="17"/>
        <v>0</v>
      </c>
    </row>
    <row r="35" spans="1:34" ht="16" thickBot="1" x14ac:dyDescent="0.25">
      <c r="A35" s="5">
        <f t="shared" si="1"/>
        <v>34</v>
      </c>
      <c r="B35" s="11">
        <v>18</v>
      </c>
      <c r="C35" s="20">
        <v>60</v>
      </c>
      <c r="D35" s="4">
        <f t="shared" si="18"/>
        <v>28.35</v>
      </c>
      <c r="E35" s="4">
        <f t="shared" si="19"/>
        <v>25.696384811600851</v>
      </c>
      <c r="F35" s="20">
        <v>30</v>
      </c>
      <c r="G35" s="23">
        <f t="shared" si="2"/>
        <v>15</v>
      </c>
      <c r="H35" s="24">
        <f t="shared" si="3"/>
        <v>15</v>
      </c>
      <c r="I35" s="9">
        <f t="shared" si="4"/>
        <v>15</v>
      </c>
      <c r="J35" s="10">
        <f t="shared" si="5"/>
        <v>15</v>
      </c>
      <c r="K35" s="25">
        <f t="shared" si="0"/>
        <v>2250</v>
      </c>
      <c r="L35">
        <f t="shared" si="6"/>
        <v>18</v>
      </c>
      <c r="M35">
        <f t="shared" si="7"/>
        <v>0</v>
      </c>
      <c r="N35">
        <f t="shared" si="8"/>
        <v>60</v>
      </c>
      <c r="O35">
        <f t="shared" si="9"/>
        <v>0</v>
      </c>
      <c r="P35">
        <f t="shared" si="10"/>
        <v>28.35</v>
      </c>
      <c r="Q35">
        <f t="shared" si="11"/>
        <v>0</v>
      </c>
      <c r="R35">
        <f t="shared" si="12"/>
        <v>25.696384811600851</v>
      </c>
      <c r="S35">
        <f t="shared" si="13"/>
        <v>0</v>
      </c>
      <c r="AE35">
        <f t="shared" si="14"/>
        <v>0</v>
      </c>
      <c r="AF35">
        <f t="shared" si="15"/>
        <v>0</v>
      </c>
      <c r="AG35">
        <f t="shared" si="16"/>
        <v>0</v>
      </c>
      <c r="AH35">
        <f t="shared" si="17"/>
        <v>0</v>
      </c>
    </row>
    <row r="36" spans="1:34" ht="16" thickBot="1" x14ac:dyDescent="0.25">
      <c r="A36" s="5">
        <f t="shared" si="1"/>
        <v>35</v>
      </c>
      <c r="B36" s="11">
        <v>11</v>
      </c>
      <c r="C36" s="20">
        <v>36</v>
      </c>
      <c r="D36" s="4">
        <f t="shared" si="18"/>
        <v>39.25</v>
      </c>
      <c r="E36" s="4">
        <f t="shared" si="19"/>
        <v>26.705405402533611</v>
      </c>
      <c r="F36" s="20">
        <v>30</v>
      </c>
      <c r="G36" s="23">
        <f t="shared" si="2"/>
        <v>15</v>
      </c>
      <c r="H36" s="24">
        <f t="shared" si="3"/>
        <v>15</v>
      </c>
      <c r="I36" s="9">
        <f t="shared" si="4"/>
        <v>15</v>
      </c>
      <c r="J36" s="10">
        <f t="shared" si="5"/>
        <v>15</v>
      </c>
      <c r="K36" s="25">
        <f t="shared" si="0"/>
        <v>2250</v>
      </c>
      <c r="L36">
        <f t="shared" si="6"/>
        <v>11</v>
      </c>
      <c r="M36">
        <f t="shared" si="7"/>
        <v>0</v>
      </c>
      <c r="N36">
        <f t="shared" si="8"/>
        <v>36</v>
      </c>
      <c r="O36">
        <f t="shared" si="9"/>
        <v>0</v>
      </c>
      <c r="P36">
        <f t="shared" si="10"/>
        <v>39.25</v>
      </c>
      <c r="Q36">
        <f t="shared" si="11"/>
        <v>0</v>
      </c>
      <c r="R36">
        <f t="shared" si="12"/>
        <v>26.705405402533611</v>
      </c>
      <c r="S36">
        <f t="shared" si="13"/>
        <v>0</v>
      </c>
      <c r="AE36">
        <f t="shared" si="14"/>
        <v>0</v>
      </c>
      <c r="AF36">
        <f t="shared" si="15"/>
        <v>0</v>
      </c>
      <c r="AG36">
        <f t="shared" si="16"/>
        <v>0</v>
      </c>
      <c r="AH36">
        <f t="shared" si="17"/>
        <v>0</v>
      </c>
    </row>
    <row r="37" spans="1:34" ht="16" thickBot="1" x14ac:dyDescent="0.25">
      <c r="A37" s="5">
        <f t="shared" si="1"/>
        <v>36</v>
      </c>
      <c r="B37" s="11">
        <v>7</v>
      </c>
      <c r="C37" s="20">
        <v>45</v>
      </c>
      <c r="D37" s="4">
        <f t="shared" si="18"/>
        <v>29.400000000000002</v>
      </c>
      <c r="E37" s="4">
        <f t="shared" si="19"/>
        <v>27.49927348630715</v>
      </c>
      <c r="F37" s="20">
        <v>30</v>
      </c>
      <c r="G37" s="23">
        <f t="shared" si="2"/>
        <v>15</v>
      </c>
      <c r="H37" s="24">
        <f t="shared" si="3"/>
        <v>15</v>
      </c>
      <c r="I37" s="9">
        <f t="shared" si="4"/>
        <v>15</v>
      </c>
      <c r="J37" s="10">
        <f t="shared" si="5"/>
        <v>15</v>
      </c>
      <c r="K37" s="25">
        <f t="shared" si="0"/>
        <v>2250</v>
      </c>
      <c r="L37">
        <f t="shared" si="6"/>
        <v>7</v>
      </c>
      <c r="M37">
        <f t="shared" si="7"/>
        <v>0</v>
      </c>
      <c r="N37">
        <f t="shared" si="8"/>
        <v>45</v>
      </c>
      <c r="O37">
        <f t="shared" si="9"/>
        <v>0</v>
      </c>
      <c r="P37">
        <f t="shared" si="10"/>
        <v>29.400000000000002</v>
      </c>
      <c r="Q37">
        <f t="shared" si="11"/>
        <v>0</v>
      </c>
      <c r="R37">
        <f t="shared" si="12"/>
        <v>27.49927348630715</v>
      </c>
      <c r="S37">
        <f t="shared" si="13"/>
        <v>0</v>
      </c>
      <c r="AE37">
        <f t="shared" si="14"/>
        <v>0</v>
      </c>
      <c r="AF37">
        <f t="shared" si="15"/>
        <v>0</v>
      </c>
      <c r="AG37">
        <f t="shared" si="16"/>
        <v>0</v>
      </c>
      <c r="AH37">
        <f t="shared" si="17"/>
        <v>0</v>
      </c>
    </row>
    <row r="38" spans="1:34" ht="16" thickBot="1" x14ac:dyDescent="0.25">
      <c r="A38" s="5">
        <f t="shared" si="1"/>
        <v>37</v>
      </c>
      <c r="B38" s="11">
        <v>19</v>
      </c>
      <c r="C38" s="20">
        <v>56</v>
      </c>
      <c r="D38" s="4">
        <f t="shared" si="18"/>
        <v>34.9</v>
      </c>
      <c r="E38" s="4">
        <f t="shared" si="19"/>
        <v>24.629493178421519</v>
      </c>
      <c r="F38" s="20">
        <v>24</v>
      </c>
      <c r="G38" s="23">
        <f t="shared" si="2"/>
        <v>12</v>
      </c>
      <c r="H38" s="24">
        <f t="shared" si="3"/>
        <v>12</v>
      </c>
      <c r="I38" s="9">
        <f t="shared" si="4"/>
        <v>12</v>
      </c>
      <c r="J38" s="10">
        <f t="shared" si="5"/>
        <v>12</v>
      </c>
      <c r="K38" s="25">
        <f t="shared" si="0"/>
        <v>1800</v>
      </c>
      <c r="L38">
        <f t="shared" si="6"/>
        <v>19</v>
      </c>
      <c r="M38">
        <f t="shared" si="7"/>
        <v>0</v>
      </c>
      <c r="N38">
        <f t="shared" si="8"/>
        <v>56</v>
      </c>
      <c r="O38">
        <f t="shared" si="9"/>
        <v>0</v>
      </c>
      <c r="P38">
        <f t="shared" si="10"/>
        <v>34.9</v>
      </c>
      <c r="Q38">
        <f t="shared" si="11"/>
        <v>0</v>
      </c>
      <c r="R38">
        <f t="shared" si="12"/>
        <v>24.629493178421519</v>
      </c>
      <c r="S38">
        <f t="shared" si="13"/>
        <v>0</v>
      </c>
      <c r="AE38">
        <f t="shared" si="14"/>
        <v>0</v>
      </c>
      <c r="AF38">
        <f t="shared" si="15"/>
        <v>0</v>
      </c>
      <c r="AG38">
        <f t="shared" si="16"/>
        <v>0</v>
      </c>
      <c r="AH38">
        <f t="shared" si="17"/>
        <v>0</v>
      </c>
    </row>
    <row r="39" spans="1:34" ht="16" thickBot="1" x14ac:dyDescent="0.25">
      <c r="A39" s="5">
        <f t="shared" si="1"/>
        <v>38</v>
      </c>
      <c r="B39" s="11">
        <v>21</v>
      </c>
      <c r="C39" s="20">
        <v>58</v>
      </c>
      <c r="D39" s="4">
        <f t="shared" si="18"/>
        <v>34.300000000000004</v>
      </c>
      <c r="E39" s="4">
        <f t="shared" si="19"/>
        <v>27.723939175937662</v>
      </c>
      <c r="F39" s="20">
        <v>30</v>
      </c>
      <c r="G39" s="23">
        <f t="shared" si="2"/>
        <v>15</v>
      </c>
      <c r="H39" s="24">
        <f t="shared" si="3"/>
        <v>15</v>
      </c>
      <c r="I39" s="9">
        <f t="shared" si="4"/>
        <v>15</v>
      </c>
      <c r="J39" s="10">
        <f>H39</f>
        <v>15</v>
      </c>
      <c r="K39" s="25">
        <f t="shared" si="0"/>
        <v>2250</v>
      </c>
      <c r="L39">
        <f t="shared" si="6"/>
        <v>21</v>
      </c>
      <c r="M39">
        <f t="shared" si="7"/>
        <v>0</v>
      </c>
      <c r="N39">
        <f t="shared" si="8"/>
        <v>58</v>
      </c>
      <c r="O39">
        <f t="shared" si="9"/>
        <v>0</v>
      </c>
      <c r="P39">
        <f t="shared" si="10"/>
        <v>34.300000000000004</v>
      </c>
      <c r="Q39">
        <f t="shared" si="11"/>
        <v>0</v>
      </c>
      <c r="R39">
        <f t="shared" si="12"/>
        <v>27.723939175937662</v>
      </c>
      <c r="S39">
        <f t="shared" si="13"/>
        <v>0</v>
      </c>
      <c r="AE39">
        <f t="shared" si="14"/>
        <v>0</v>
      </c>
      <c r="AF39">
        <f t="shared" si="15"/>
        <v>0</v>
      </c>
      <c r="AG39">
        <f t="shared" si="16"/>
        <v>0</v>
      </c>
      <c r="AH39">
        <f t="shared" si="17"/>
        <v>0</v>
      </c>
    </row>
    <row r="40" spans="1:34" ht="16" thickBot="1" x14ac:dyDescent="0.25">
      <c r="A40" s="5">
        <f t="shared" si="1"/>
        <v>39</v>
      </c>
      <c r="B40" s="11">
        <v>12</v>
      </c>
      <c r="C40" s="20">
        <v>43</v>
      </c>
      <c r="D40" s="4">
        <f t="shared" si="18"/>
        <v>38.85</v>
      </c>
      <c r="E40" s="4">
        <f t="shared" si="19"/>
        <v>24.692215183818249</v>
      </c>
      <c r="F40" s="20">
        <v>24</v>
      </c>
      <c r="G40" s="23">
        <f t="shared" si="2"/>
        <v>12</v>
      </c>
      <c r="H40" s="24">
        <f t="shared" si="3"/>
        <v>12</v>
      </c>
      <c r="I40" s="9">
        <f t="shared" si="4"/>
        <v>12</v>
      </c>
      <c r="J40" s="10">
        <f t="shared" si="5"/>
        <v>12</v>
      </c>
      <c r="K40" s="25">
        <f t="shared" si="0"/>
        <v>1800</v>
      </c>
      <c r="L40">
        <f t="shared" si="6"/>
        <v>12</v>
      </c>
      <c r="M40">
        <f t="shared" si="7"/>
        <v>0</v>
      </c>
      <c r="N40">
        <f t="shared" si="8"/>
        <v>43</v>
      </c>
      <c r="O40">
        <f t="shared" si="9"/>
        <v>0</v>
      </c>
      <c r="P40">
        <f t="shared" si="10"/>
        <v>38.85</v>
      </c>
      <c r="Q40">
        <f t="shared" si="11"/>
        <v>0</v>
      </c>
      <c r="R40">
        <f t="shared" si="12"/>
        <v>24.692215183818249</v>
      </c>
      <c r="S40">
        <f t="shared" si="13"/>
        <v>0</v>
      </c>
      <c r="AE40">
        <f t="shared" si="14"/>
        <v>0</v>
      </c>
      <c r="AF40">
        <f t="shared" si="15"/>
        <v>0</v>
      </c>
      <c r="AG40">
        <f t="shared" si="16"/>
        <v>0</v>
      </c>
      <c r="AH40">
        <f t="shared" si="17"/>
        <v>0</v>
      </c>
    </row>
    <row r="41" spans="1:34" ht="16" thickBot="1" x14ac:dyDescent="0.25">
      <c r="A41" s="5">
        <f t="shared" si="1"/>
        <v>40</v>
      </c>
      <c r="B41" s="11">
        <v>8</v>
      </c>
      <c r="C41" s="20">
        <v>32</v>
      </c>
      <c r="D41" s="4">
        <f t="shared" si="18"/>
        <v>31.500000000000004</v>
      </c>
      <c r="E41" s="4">
        <f t="shared" si="19"/>
        <v>28.078892354605806</v>
      </c>
      <c r="F41" s="20">
        <v>30</v>
      </c>
      <c r="G41" s="23">
        <f t="shared" si="2"/>
        <v>15</v>
      </c>
      <c r="H41" s="24">
        <f t="shared" si="3"/>
        <v>15</v>
      </c>
      <c r="I41" s="9">
        <f t="shared" si="4"/>
        <v>15</v>
      </c>
      <c r="J41" s="10">
        <f t="shared" si="5"/>
        <v>15</v>
      </c>
      <c r="K41" s="25">
        <f t="shared" si="0"/>
        <v>2250</v>
      </c>
      <c r="L41">
        <f t="shared" si="6"/>
        <v>8</v>
      </c>
      <c r="M41">
        <f t="shared" si="7"/>
        <v>0</v>
      </c>
      <c r="N41">
        <f t="shared" si="8"/>
        <v>32</v>
      </c>
      <c r="O41">
        <f t="shared" si="9"/>
        <v>0</v>
      </c>
      <c r="P41">
        <f t="shared" si="10"/>
        <v>31.500000000000004</v>
      </c>
      <c r="Q41">
        <f t="shared" si="11"/>
        <v>0</v>
      </c>
      <c r="R41">
        <f t="shared" si="12"/>
        <v>28.078892354605806</v>
      </c>
      <c r="S41">
        <f t="shared" si="13"/>
        <v>0</v>
      </c>
      <c r="AE41">
        <f t="shared" si="14"/>
        <v>0</v>
      </c>
      <c r="AF41">
        <f t="shared" si="15"/>
        <v>0</v>
      </c>
      <c r="AG41">
        <f t="shared" si="16"/>
        <v>0</v>
      </c>
      <c r="AH41">
        <f t="shared" si="17"/>
        <v>0</v>
      </c>
    </row>
    <row r="42" spans="1:34" ht="16" thickBot="1" x14ac:dyDescent="0.25">
      <c r="A42" s="5">
        <f t="shared" si="1"/>
        <v>41</v>
      </c>
      <c r="B42" s="11">
        <v>15</v>
      </c>
      <c r="C42" s="20">
        <v>52</v>
      </c>
      <c r="D42" s="4">
        <f t="shared" si="18"/>
        <v>32.1</v>
      </c>
      <c r="E42" s="4">
        <f t="shared" si="19"/>
        <v>25.748172388514927</v>
      </c>
      <c r="F42" s="20">
        <v>24</v>
      </c>
      <c r="G42" s="23">
        <f t="shared" si="2"/>
        <v>12</v>
      </c>
      <c r="H42" s="24">
        <f t="shared" si="3"/>
        <v>12</v>
      </c>
      <c r="I42" s="9">
        <f t="shared" si="4"/>
        <v>12</v>
      </c>
      <c r="J42" s="10">
        <f t="shared" si="5"/>
        <v>12</v>
      </c>
      <c r="K42" s="25">
        <f t="shared" si="0"/>
        <v>1800</v>
      </c>
      <c r="L42">
        <f t="shared" si="6"/>
        <v>15</v>
      </c>
      <c r="M42">
        <f t="shared" si="7"/>
        <v>0</v>
      </c>
      <c r="N42">
        <f t="shared" si="8"/>
        <v>52</v>
      </c>
      <c r="O42">
        <f t="shared" si="9"/>
        <v>0</v>
      </c>
      <c r="P42">
        <f t="shared" si="10"/>
        <v>32.1</v>
      </c>
      <c r="Q42">
        <f t="shared" si="11"/>
        <v>0</v>
      </c>
      <c r="R42">
        <f t="shared" si="12"/>
        <v>25.748172388514927</v>
      </c>
      <c r="S42">
        <f t="shared" si="13"/>
        <v>0</v>
      </c>
      <c r="AE42">
        <f t="shared" si="14"/>
        <v>0</v>
      </c>
      <c r="AF42">
        <f t="shared" si="15"/>
        <v>0</v>
      </c>
      <c r="AG42">
        <f t="shared" si="16"/>
        <v>0</v>
      </c>
      <c r="AH42">
        <f t="shared" si="17"/>
        <v>0</v>
      </c>
    </row>
    <row r="43" spans="1:34" ht="16" thickBot="1" x14ac:dyDescent="0.25">
      <c r="A43" s="5">
        <f t="shared" si="1"/>
        <v>42</v>
      </c>
      <c r="B43" s="11">
        <v>14</v>
      </c>
      <c r="C43" s="20">
        <v>45</v>
      </c>
      <c r="D43" s="4">
        <f t="shared" si="18"/>
        <v>37.25</v>
      </c>
      <c r="E43" s="4">
        <f t="shared" si="19"/>
        <v>27.323855996084813</v>
      </c>
      <c r="F43" s="20">
        <v>30</v>
      </c>
      <c r="G43" s="23">
        <f t="shared" si="2"/>
        <v>15</v>
      </c>
      <c r="H43" s="24">
        <f t="shared" si="3"/>
        <v>15</v>
      </c>
      <c r="I43" s="9">
        <f t="shared" si="4"/>
        <v>15</v>
      </c>
      <c r="J43" s="10">
        <f t="shared" si="5"/>
        <v>15</v>
      </c>
      <c r="K43" s="25">
        <f t="shared" si="0"/>
        <v>2250</v>
      </c>
      <c r="L43">
        <f t="shared" si="6"/>
        <v>14</v>
      </c>
      <c r="M43">
        <f t="shared" si="7"/>
        <v>0</v>
      </c>
      <c r="N43">
        <f t="shared" si="8"/>
        <v>45</v>
      </c>
      <c r="O43">
        <f t="shared" si="9"/>
        <v>0</v>
      </c>
      <c r="P43">
        <f t="shared" si="10"/>
        <v>37.25</v>
      </c>
      <c r="Q43">
        <f t="shared" si="11"/>
        <v>0</v>
      </c>
      <c r="R43">
        <f t="shared" si="12"/>
        <v>27.323855996084813</v>
      </c>
      <c r="S43">
        <f t="shared" si="13"/>
        <v>0</v>
      </c>
      <c r="AE43">
        <f t="shared" si="14"/>
        <v>0</v>
      </c>
      <c r="AF43">
        <f t="shared" si="15"/>
        <v>0</v>
      </c>
      <c r="AG43">
        <f t="shared" si="16"/>
        <v>0</v>
      </c>
      <c r="AH43">
        <f t="shared" si="17"/>
        <v>0</v>
      </c>
    </row>
    <row r="44" spans="1:34" ht="16" thickBot="1" x14ac:dyDescent="0.25">
      <c r="A44" s="5">
        <f t="shared" si="1"/>
        <v>43</v>
      </c>
      <c r="B44" s="11">
        <v>10</v>
      </c>
      <c r="C44" s="20">
        <v>36</v>
      </c>
      <c r="D44" s="4">
        <f t="shared" si="18"/>
        <v>34.799999999999997</v>
      </c>
      <c r="E44" s="4">
        <f t="shared" si="19"/>
        <v>26.872660434677545</v>
      </c>
      <c r="F44" s="20">
        <v>30</v>
      </c>
      <c r="G44" s="23">
        <f t="shared" si="2"/>
        <v>15</v>
      </c>
      <c r="H44" s="24">
        <f t="shared" si="3"/>
        <v>15</v>
      </c>
      <c r="I44" s="9">
        <f t="shared" si="4"/>
        <v>15</v>
      </c>
      <c r="J44" s="10">
        <f t="shared" si="5"/>
        <v>15</v>
      </c>
      <c r="K44" s="25">
        <f t="shared" si="0"/>
        <v>2250</v>
      </c>
      <c r="L44">
        <f t="shared" si="6"/>
        <v>10</v>
      </c>
      <c r="M44">
        <f t="shared" si="7"/>
        <v>0</v>
      </c>
      <c r="N44">
        <f t="shared" si="8"/>
        <v>36</v>
      </c>
      <c r="O44">
        <f t="shared" si="9"/>
        <v>0</v>
      </c>
      <c r="P44">
        <f t="shared" si="10"/>
        <v>34.799999999999997</v>
      </c>
      <c r="Q44">
        <f t="shared" si="11"/>
        <v>0</v>
      </c>
      <c r="R44">
        <f t="shared" si="12"/>
        <v>26.872660434677545</v>
      </c>
      <c r="S44">
        <f t="shared" si="13"/>
        <v>0</v>
      </c>
      <c r="AE44">
        <f t="shared" si="14"/>
        <v>0</v>
      </c>
      <c r="AF44">
        <f t="shared" si="15"/>
        <v>0</v>
      </c>
      <c r="AG44">
        <f t="shared" si="16"/>
        <v>0</v>
      </c>
      <c r="AH44">
        <f t="shared" si="17"/>
        <v>0</v>
      </c>
    </row>
    <row r="45" spans="1:34" ht="16" thickBot="1" x14ac:dyDescent="0.25">
      <c r="A45" s="5">
        <f t="shared" si="1"/>
        <v>44</v>
      </c>
      <c r="B45" s="11">
        <v>11</v>
      </c>
      <c r="C45" s="20">
        <v>46</v>
      </c>
      <c r="D45" s="4">
        <f t="shared" si="18"/>
        <v>33</v>
      </c>
      <c r="E45" s="4">
        <f t="shared" si="19"/>
        <v>27.561849325787001</v>
      </c>
      <c r="F45" s="20">
        <v>30</v>
      </c>
      <c r="G45" s="23">
        <f t="shared" si="2"/>
        <v>15</v>
      </c>
      <c r="H45" s="24">
        <f t="shared" si="3"/>
        <v>15</v>
      </c>
      <c r="I45" s="9">
        <f t="shared" si="4"/>
        <v>15</v>
      </c>
      <c r="J45" s="10">
        <f t="shared" si="5"/>
        <v>15</v>
      </c>
      <c r="K45" s="25">
        <f t="shared" si="0"/>
        <v>2250</v>
      </c>
      <c r="L45">
        <f t="shared" si="6"/>
        <v>11</v>
      </c>
      <c r="M45">
        <f t="shared" si="7"/>
        <v>0</v>
      </c>
      <c r="N45">
        <f t="shared" si="8"/>
        <v>46</v>
      </c>
      <c r="O45">
        <f t="shared" si="9"/>
        <v>0</v>
      </c>
      <c r="P45">
        <f t="shared" si="10"/>
        <v>33</v>
      </c>
      <c r="Q45">
        <f t="shared" si="11"/>
        <v>0</v>
      </c>
      <c r="R45">
        <f t="shared" si="12"/>
        <v>27.561849325787001</v>
      </c>
      <c r="S45">
        <f t="shared" si="13"/>
        <v>0</v>
      </c>
      <c r="AE45">
        <f t="shared" si="14"/>
        <v>0</v>
      </c>
      <c r="AF45">
        <f t="shared" si="15"/>
        <v>0</v>
      </c>
      <c r="AG45">
        <f t="shared" si="16"/>
        <v>0</v>
      </c>
      <c r="AH45">
        <f t="shared" si="17"/>
        <v>0</v>
      </c>
    </row>
    <row r="46" spans="1:34" ht="16" thickBot="1" x14ac:dyDescent="0.25">
      <c r="A46" s="5">
        <f t="shared" si="1"/>
        <v>45</v>
      </c>
      <c r="B46" s="11">
        <v>16</v>
      </c>
      <c r="C46" s="20">
        <v>41</v>
      </c>
      <c r="D46" s="4">
        <f t="shared" si="18"/>
        <v>33.650000000000006</v>
      </c>
      <c r="E46" s="4">
        <f t="shared" si="19"/>
        <v>26.869755464765881</v>
      </c>
      <c r="F46" s="20">
        <v>24</v>
      </c>
      <c r="G46" s="23">
        <f t="shared" si="2"/>
        <v>12</v>
      </c>
      <c r="H46" s="24">
        <f t="shared" si="3"/>
        <v>12</v>
      </c>
      <c r="I46" s="9">
        <f t="shared" si="4"/>
        <v>12</v>
      </c>
      <c r="J46" s="10">
        <f t="shared" si="5"/>
        <v>12</v>
      </c>
      <c r="K46" s="25">
        <f t="shared" si="0"/>
        <v>1800</v>
      </c>
      <c r="L46">
        <f t="shared" si="6"/>
        <v>16</v>
      </c>
      <c r="M46">
        <f t="shared" si="7"/>
        <v>0</v>
      </c>
      <c r="N46">
        <f t="shared" si="8"/>
        <v>41</v>
      </c>
      <c r="O46">
        <f t="shared" si="9"/>
        <v>0</v>
      </c>
      <c r="P46">
        <f t="shared" si="10"/>
        <v>33.650000000000006</v>
      </c>
      <c r="Q46">
        <f t="shared" si="11"/>
        <v>0</v>
      </c>
      <c r="R46">
        <f t="shared" si="12"/>
        <v>26.869755464765881</v>
      </c>
      <c r="S46">
        <f t="shared" si="13"/>
        <v>0</v>
      </c>
      <c r="AE46">
        <f t="shared" si="14"/>
        <v>0</v>
      </c>
      <c r="AF46">
        <f t="shared" si="15"/>
        <v>0</v>
      </c>
      <c r="AG46">
        <f t="shared" si="16"/>
        <v>0</v>
      </c>
      <c r="AH46">
        <f t="shared" si="17"/>
        <v>0</v>
      </c>
    </row>
    <row r="47" spans="1:34" ht="16" thickBot="1" x14ac:dyDescent="0.25">
      <c r="A47" s="5">
        <f t="shared" si="1"/>
        <v>46</v>
      </c>
      <c r="B47" s="11">
        <v>13</v>
      </c>
      <c r="C47" s="20">
        <v>52</v>
      </c>
      <c r="D47" s="4">
        <f t="shared" si="18"/>
        <v>33.6</v>
      </c>
      <c r="E47" s="4">
        <f t="shared" si="19"/>
        <v>26.411217136420934</v>
      </c>
      <c r="F47" s="20">
        <v>30</v>
      </c>
      <c r="G47" s="23">
        <f t="shared" si="2"/>
        <v>15</v>
      </c>
      <c r="H47" s="24">
        <f t="shared" si="3"/>
        <v>15</v>
      </c>
      <c r="I47" s="9">
        <f t="shared" si="4"/>
        <v>15</v>
      </c>
      <c r="J47" s="10">
        <f t="shared" si="5"/>
        <v>15</v>
      </c>
      <c r="K47" s="25">
        <f t="shared" si="0"/>
        <v>2250</v>
      </c>
      <c r="L47">
        <f t="shared" si="6"/>
        <v>13</v>
      </c>
      <c r="M47">
        <f t="shared" si="7"/>
        <v>0</v>
      </c>
      <c r="N47">
        <f t="shared" si="8"/>
        <v>52</v>
      </c>
      <c r="O47">
        <f t="shared" si="9"/>
        <v>0</v>
      </c>
      <c r="P47">
        <f t="shared" si="10"/>
        <v>33.6</v>
      </c>
      <c r="Q47">
        <f t="shared" si="11"/>
        <v>0</v>
      </c>
      <c r="R47">
        <f t="shared" si="12"/>
        <v>26.411217136420934</v>
      </c>
      <c r="S47">
        <f t="shared" si="13"/>
        <v>0</v>
      </c>
      <c r="AE47">
        <f t="shared" si="14"/>
        <v>0</v>
      </c>
      <c r="AF47">
        <f t="shared" si="15"/>
        <v>0</v>
      </c>
      <c r="AG47">
        <f t="shared" si="16"/>
        <v>0</v>
      </c>
      <c r="AH47">
        <f t="shared" si="17"/>
        <v>0</v>
      </c>
    </row>
    <row r="48" spans="1:34" ht="16" thickBot="1" x14ac:dyDescent="0.25">
      <c r="A48" s="5">
        <f t="shared" si="1"/>
        <v>47</v>
      </c>
      <c r="B48" s="11">
        <v>15</v>
      </c>
      <c r="C48" s="20">
        <v>40</v>
      </c>
      <c r="D48" s="4">
        <f t="shared" si="18"/>
        <v>32.299999999999997</v>
      </c>
      <c r="E48" s="4">
        <f t="shared" si="19"/>
        <v>27.310928359862888</v>
      </c>
      <c r="F48" s="20">
        <v>30</v>
      </c>
      <c r="G48" s="23">
        <f t="shared" si="2"/>
        <v>15</v>
      </c>
      <c r="H48" s="24">
        <f t="shared" si="3"/>
        <v>15</v>
      </c>
      <c r="I48" s="9">
        <f t="shared" si="4"/>
        <v>15</v>
      </c>
      <c r="J48" s="10">
        <f t="shared" si="5"/>
        <v>15</v>
      </c>
      <c r="K48" s="25">
        <f t="shared" si="0"/>
        <v>2250</v>
      </c>
      <c r="L48">
        <f t="shared" si="6"/>
        <v>15</v>
      </c>
      <c r="M48">
        <f t="shared" si="7"/>
        <v>0</v>
      </c>
      <c r="N48">
        <f t="shared" si="8"/>
        <v>40</v>
      </c>
      <c r="O48">
        <f t="shared" si="9"/>
        <v>0</v>
      </c>
      <c r="P48">
        <f t="shared" si="10"/>
        <v>32.299999999999997</v>
      </c>
      <c r="Q48">
        <f t="shared" si="11"/>
        <v>0</v>
      </c>
      <c r="R48">
        <f t="shared" si="12"/>
        <v>27.310928359862888</v>
      </c>
      <c r="S48">
        <f t="shared" si="13"/>
        <v>0</v>
      </c>
      <c r="AE48">
        <f t="shared" si="14"/>
        <v>0</v>
      </c>
      <c r="AF48">
        <f t="shared" si="15"/>
        <v>0</v>
      </c>
      <c r="AG48">
        <f t="shared" si="16"/>
        <v>0</v>
      </c>
      <c r="AH48">
        <f t="shared" si="17"/>
        <v>0</v>
      </c>
    </row>
    <row r="49" spans="1:34" ht="16" thickBot="1" x14ac:dyDescent="0.25">
      <c r="A49" s="5">
        <f t="shared" si="1"/>
        <v>48</v>
      </c>
      <c r="B49" s="11">
        <v>15</v>
      </c>
      <c r="C49" s="20">
        <v>56</v>
      </c>
      <c r="D49" s="4">
        <f t="shared" si="18"/>
        <v>31.35</v>
      </c>
      <c r="E49" s="4">
        <f t="shared" si="19"/>
        <v>26.809161218449166</v>
      </c>
      <c r="F49" s="20">
        <v>24</v>
      </c>
      <c r="G49" s="23">
        <f t="shared" si="2"/>
        <v>12</v>
      </c>
      <c r="H49" s="24">
        <f t="shared" si="3"/>
        <v>12</v>
      </c>
      <c r="I49" s="9">
        <f t="shared" si="4"/>
        <v>12</v>
      </c>
      <c r="J49" s="10">
        <f t="shared" si="5"/>
        <v>12</v>
      </c>
      <c r="K49" s="25">
        <f t="shared" si="0"/>
        <v>1800</v>
      </c>
      <c r="L49">
        <f t="shared" si="6"/>
        <v>15</v>
      </c>
      <c r="M49">
        <f t="shared" si="7"/>
        <v>0</v>
      </c>
      <c r="N49">
        <f t="shared" si="8"/>
        <v>56</v>
      </c>
      <c r="O49">
        <f t="shared" si="9"/>
        <v>0</v>
      </c>
      <c r="P49">
        <f t="shared" si="10"/>
        <v>31.35</v>
      </c>
      <c r="Q49">
        <f t="shared" si="11"/>
        <v>0</v>
      </c>
      <c r="R49">
        <f t="shared" si="12"/>
        <v>26.809161218449166</v>
      </c>
      <c r="S49">
        <f t="shared" si="13"/>
        <v>0</v>
      </c>
      <c r="AE49">
        <f t="shared" si="14"/>
        <v>0</v>
      </c>
      <c r="AF49">
        <f t="shared" si="15"/>
        <v>0</v>
      </c>
      <c r="AG49">
        <f t="shared" si="16"/>
        <v>0</v>
      </c>
      <c r="AH49">
        <f t="shared" si="17"/>
        <v>0</v>
      </c>
    </row>
    <row r="50" spans="1:34" ht="16" thickBot="1" x14ac:dyDescent="0.25">
      <c r="A50" s="5">
        <f t="shared" si="1"/>
        <v>49</v>
      </c>
      <c r="B50" s="11">
        <v>9</v>
      </c>
      <c r="C50" s="20">
        <v>35</v>
      </c>
      <c r="D50" s="4">
        <f t="shared" si="18"/>
        <v>35.700000000000003</v>
      </c>
      <c r="E50" s="4">
        <f t="shared" si="19"/>
        <v>26.107953957331929</v>
      </c>
      <c r="F50" s="20">
        <v>18</v>
      </c>
      <c r="G50" s="23">
        <f t="shared" si="2"/>
        <v>9</v>
      </c>
      <c r="H50" s="24">
        <f t="shared" si="3"/>
        <v>9</v>
      </c>
      <c r="I50" s="9">
        <f t="shared" si="4"/>
        <v>9</v>
      </c>
      <c r="J50" s="10">
        <f t="shared" si="5"/>
        <v>9</v>
      </c>
      <c r="K50" s="25">
        <f t="shared" si="0"/>
        <v>1350</v>
      </c>
      <c r="L50">
        <f t="shared" si="6"/>
        <v>9</v>
      </c>
      <c r="M50">
        <f t="shared" si="7"/>
        <v>0</v>
      </c>
      <c r="N50">
        <f t="shared" si="8"/>
        <v>35</v>
      </c>
      <c r="O50">
        <f t="shared" si="9"/>
        <v>0</v>
      </c>
      <c r="P50">
        <f t="shared" si="10"/>
        <v>35.700000000000003</v>
      </c>
      <c r="Q50">
        <f t="shared" si="11"/>
        <v>0</v>
      </c>
      <c r="R50">
        <f t="shared" si="12"/>
        <v>26.107953957331929</v>
      </c>
      <c r="S50">
        <f t="shared" si="13"/>
        <v>0</v>
      </c>
      <c r="AE50">
        <f t="shared" si="14"/>
        <v>0</v>
      </c>
      <c r="AF50">
        <f t="shared" si="15"/>
        <v>0</v>
      </c>
      <c r="AG50">
        <f t="shared" si="16"/>
        <v>0</v>
      </c>
      <c r="AH50">
        <f t="shared" si="17"/>
        <v>0</v>
      </c>
    </row>
    <row r="51" spans="1:34" ht="16" thickBot="1" x14ac:dyDescent="0.25">
      <c r="A51" s="5">
        <f t="shared" si="1"/>
        <v>50</v>
      </c>
      <c r="B51" s="11">
        <v>15</v>
      </c>
      <c r="C51" s="20">
        <v>52</v>
      </c>
      <c r="D51" s="4">
        <f t="shared" si="18"/>
        <v>30.400000000000006</v>
      </c>
      <c r="E51" s="4">
        <f t="shared" si="19"/>
        <v>26.395183627452678</v>
      </c>
      <c r="F51" s="20">
        <v>12</v>
      </c>
      <c r="G51" s="23">
        <f t="shared" si="2"/>
        <v>6</v>
      </c>
      <c r="H51" s="24">
        <f t="shared" si="3"/>
        <v>6</v>
      </c>
      <c r="I51" s="9">
        <f t="shared" si="4"/>
        <v>6</v>
      </c>
      <c r="J51" s="10">
        <f t="shared" si="5"/>
        <v>6</v>
      </c>
      <c r="K51" s="25">
        <f t="shared" si="0"/>
        <v>912.79518362745273</v>
      </c>
      <c r="L51">
        <f t="shared" si="6"/>
        <v>15</v>
      </c>
      <c r="M51">
        <f t="shared" si="7"/>
        <v>0</v>
      </c>
      <c r="N51">
        <f t="shared" si="8"/>
        <v>52</v>
      </c>
      <c r="O51">
        <f t="shared" si="9"/>
        <v>0</v>
      </c>
      <c r="P51">
        <f t="shared" si="10"/>
        <v>30.400000000000006</v>
      </c>
      <c r="Q51">
        <f t="shared" si="11"/>
        <v>0</v>
      </c>
      <c r="R51">
        <f t="shared" si="12"/>
        <v>13.599999999999994</v>
      </c>
      <c r="S51">
        <f t="shared" si="13"/>
        <v>12.795183627452683</v>
      </c>
      <c r="AE51">
        <f t="shared" si="14"/>
        <v>0</v>
      </c>
      <c r="AF51">
        <f t="shared" si="15"/>
        <v>0</v>
      </c>
      <c r="AG51">
        <f t="shared" si="16"/>
        <v>0</v>
      </c>
      <c r="AH51">
        <f t="shared" si="17"/>
        <v>1</v>
      </c>
    </row>
    <row r="52" spans="1:34" ht="16" thickBot="1" x14ac:dyDescent="0.25">
      <c r="A52" s="5">
        <f t="shared" si="1"/>
        <v>51</v>
      </c>
      <c r="B52" s="11">
        <v>17</v>
      </c>
      <c r="C52" s="20">
        <v>38</v>
      </c>
      <c r="D52" s="4">
        <f t="shared" si="18"/>
        <v>35.9</v>
      </c>
      <c r="E52" s="4">
        <f t="shared" si="19"/>
        <v>23.110916121844916</v>
      </c>
      <c r="F52" s="20">
        <v>18</v>
      </c>
      <c r="G52" s="23">
        <f t="shared" si="2"/>
        <v>9</v>
      </c>
      <c r="H52" s="24">
        <f t="shared" si="3"/>
        <v>9</v>
      </c>
      <c r="I52" s="9">
        <f t="shared" si="4"/>
        <v>9</v>
      </c>
      <c r="J52" s="10">
        <f t="shared" si="5"/>
        <v>9</v>
      </c>
      <c r="K52" s="25">
        <f t="shared" si="0"/>
        <v>1350</v>
      </c>
      <c r="L52">
        <f t="shared" si="6"/>
        <v>17</v>
      </c>
      <c r="M52">
        <f t="shared" si="7"/>
        <v>0</v>
      </c>
      <c r="N52">
        <f t="shared" si="8"/>
        <v>38</v>
      </c>
      <c r="O52">
        <f t="shared" si="9"/>
        <v>0</v>
      </c>
      <c r="P52">
        <f t="shared" si="10"/>
        <v>35.9</v>
      </c>
      <c r="Q52">
        <f t="shared" si="11"/>
        <v>0</v>
      </c>
      <c r="R52">
        <f t="shared" si="12"/>
        <v>35.906099749297596</v>
      </c>
      <c r="S52">
        <f t="shared" si="13"/>
        <v>0</v>
      </c>
      <c r="AE52">
        <f t="shared" si="14"/>
        <v>0</v>
      </c>
      <c r="AF52">
        <f t="shared" si="15"/>
        <v>0</v>
      </c>
      <c r="AG52">
        <f t="shared" si="16"/>
        <v>0</v>
      </c>
      <c r="AH52">
        <f t="shared" si="17"/>
        <v>0</v>
      </c>
    </row>
    <row r="53" spans="1:34" x14ac:dyDescent="0.2">
      <c r="A53" s="5">
        <f>A52+1</f>
        <v>52</v>
      </c>
      <c r="B53" s="11">
        <v>11</v>
      </c>
      <c r="C53" s="20">
        <v>30</v>
      </c>
      <c r="D53" s="4">
        <f t="shared" si="18"/>
        <v>31.250000000000004</v>
      </c>
      <c r="E53" s="4">
        <f t="shared" si="19"/>
        <v>28.597015345592713</v>
      </c>
      <c r="F53" s="20">
        <v>12</v>
      </c>
      <c r="G53" s="23">
        <f t="shared" si="2"/>
        <v>6</v>
      </c>
      <c r="H53" s="24">
        <f t="shared" si="3"/>
        <v>6</v>
      </c>
      <c r="I53" s="9">
        <f t="shared" si="4"/>
        <v>6</v>
      </c>
      <c r="J53" s="10">
        <f t="shared" si="5"/>
        <v>6</v>
      </c>
      <c r="K53" s="25">
        <f t="shared" si="0"/>
        <v>900</v>
      </c>
      <c r="L53">
        <f t="shared" si="6"/>
        <v>11</v>
      </c>
      <c r="M53">
        <f t="shared" si="7"/>
        <v>0</v>
      </c>
      <c r="N53">
        <f t="shared" si="8"/>
        <v>30</v>
      </c>
      <c r="O53">
        <f t="shared" si="9"/>
        <v>0</v>
      </c>
      <c r="P53">
        <f t="shared" si="10"/>
        <v>31.250000000000004</v>
      </c>
      <c r="Q53">
        <f t="shared" si="11"/>
        <v>0</v>
      </c>
      <c r="R53">
        <f t="shared" si="12"/>
        <v>28.597015345592713</v>
      </c>
      <c r="S53">
        <f t="shared" si="13"/>
        <v>0</v>
      </c>
      <c r="AE53">
        <f t="shared" si="14"/>
        <v>0</v>
      </c>
      <c r="AF53">
        <f t="shared" si="15"/>
        <v>0</v>
      </c>
      <c r="AG53">
        <f t="shared" si="16"/>
        <v>0</v>
      </c>
      <c r="AH53">
        <f t="shared" si="17"/>
        <v>0</v>
      </c>
    </row>
    <row r="54" spans="1:34" x14ac:dyDescent="0.2">
      <c r="B54" s="15"/>
      <c r="C54" s="15"/>
      <c r="D54" s="16"/>
      <c r="E54" s="16"/>
      <c r="F54" s="16"/>
      <c r="K54" s="4">
        <f>SUM(K2:K53)</f>
        <v>92540.25999362985</v>
      </c>
    </row>
    <row r="55" spans="1:34" x14ac:dyDescent="0.2">
      <c r="B55" s="15"/>
      <c r="C55" s="15"/>
    </row>
  </sheetData>
  <pageMargins left="0.7" right="0.7" top="0.75" bottom="0.75" header="0.3" footer="0.3"/>
  <pageSetup paperSize="9" scale="53" orientation="portrait" horizontalDpi="1200" verticalDpi="1200"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C2A6E5D76F57046AE04482D981A6C5B" ma:contentTypeVersion="13" ma:contentTypeDescription="Create a new document." ma:contentTypeScope="" ma:versionID="49ebe2259e56fd9d18e8d6f0a33733af">
  <xsd:schema xmlns:xsd="http://www.w3.org/2001/XMLSchema" xmlns:xs="http://www.w3.org/2001/XMLSchema" xmlns:p="http://schemas.microsoft.com/office/2006/metadata/properties" xmlns:ns3="f65fba26-ec4d-4737-8981-2465d28de716" xmlns:ns4="0d9489ea-1809-4c07-ad6e-8c53781fb825" targetNamespace="http://schemas.microsoft.com/office/2006/metadata/properties" ma:root="true" ma:fieldsID="ad0f2fa0f747b97451fddaadd4e71d78" ns3:_="" ns4:_="">
    <xsd:import namespace="f65fba26-ec4d-4737-8981-2465d28de716"/>
    <xsd:import namespace="0d9489ea-1809-4c07-ad6e-8c53781fb825"/>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65fba26-ec4d-4737-8981-2465d28de7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d9489ea-1809-4c07-ad6e-8c53781fb825"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506F694-2667-4197-B9FD-C34329FE6B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65fba26-ec4d-4737-8981-2465d28de716"/>
    <ds:schemaRef ds:uri="0d9489ea-1809-4c07-ad6e-8c53781fb82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7A5DA32-6D5A-48D4-80F9-97C2D2D66798}">
  <ds:schemaRefs>
    <ds:schemaRef ds:uri="http://schemas.microsoft.com/sharepoint/v3/contenttype/forms"/>
  </ds:schemaRefs>
</ds:datastoreItem>
</file>

<file path=customXml/itemProps3.xml><?xml version="1.0" encoding="utf-8"?>
<ds:datastoreItem xmlns:ds="http://schemas.openxmlformats.org/officeDocument/2006/customXml" ds:itemID="{57279970-323A-44F9-AB2B-CE6BBFEE39DE}">
  <ds:schemaRefs>
    <ds:schemaRef ds:uri="http://purl.org/dc/elements/1.1/"/>
    <ds:schemaRef ds:uri="http://schemas.microsoft.com/office/2006/metadata/properties"/>
    <ds:schemaRef ds:uri="http://schemas.openxmlformats.org/package/2006/metadata/core-properties"/>
    <ds:schemaRef ds:uri="http://schemas.microsoft.com/office/2006/documentManagement/types"/>
    <ds:schemaRef ds:uri="http://purl.org/dc/terms/"/>
    <ds:schemaRef ds:uri="http://purl.org/dc/dcmitype/"/>
    <ds:schemaRef ds:uri="http://schemas.microsoft.com/office/infopath/2007/PartnerControls"/>
    <ds:schemaRef ds:uri="0d9489ea-1809-4c07-ad6e-8c53781fb825"/>
    <ds:schemaRef ds:uri="f65fba26-ec4d-4737-8981-2465d28de716"/>
    <ds:schemaRef ds:uri="http://www.w3.org/XML/1998/namespace"/>
  </ds:schemaRefs>
</ds:datastoreItem>
</file>

<file path=docMetadata/LabelInfo.xml><?xml version="1.0" encoding="utf-8"?>
<clbl:labelList xmlns:clbl="http://schemas.microsoft.com/office/2020/mipLabelMetadata">
  <clbl:label id="{eaab77ea-b4a5-49e3-a1e8-d6dd23a1f286}" enabled="0" method="" siteId="{eaab77ea-b4a5-49e3-a1e8-d6dd23a1f28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Case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dc:creator>
  <cp:lastModifiedBy>Deep Tripathi</cp:lastModifiedBy>
  <cp:lastPrinted>2015-03-18T20:03:19Z</cp:lastPrinted>
  <dcterms:created xsi:type="dcterms:W3CDTF">2013-03-04T09:03:05Z</dcterms:created>
  <dcterms:modified xsi:type="dcterms:W3CDTF">2026-04-26T21:39:52Z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0x0101001C2A6E5D76F57046AE04482D981A6C5B</vt:lpwstr>
  </property>
</Properties>
</file>